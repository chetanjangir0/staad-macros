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ggreenbuildings-my.sharepoint.com/personal/chetanjangir_apolloinnovatione_ai/Documents/Documents/macros/STAAD EXTENSIONS/STAAD_EXT/src/staad_ext/wind_profiles/"/>
    </mc:Choice>
  </mc:AlternateContent>
  <xr:revisionPtr revIDLastSave="74" documentId="11_E7A98A6DCB3A587C8235BBD5CE0C499D31F15D0A" xr6:coauthVersionLast="47" xr6:coauthVersionMax="47" xr10:uidLastSave="{B967B9D7-E597-469B-AC34-3FC579C50049}"/>
  <bookViews>
    <workbookView xWindow="2625" yWindow="1425" windowWidth="26175" windowHeight="14055" tabRatio="597" activeTab="2" xr2:uid="{00000000-000D-0000-FFFF-FFFF00000000}"/>
  </bookViews>
  <sheets>
    <sheet name="WL-Single Gable-MBS" sheetId="5" r:id="rId1"/>
    <sheet name="Sheet1" sheetId="6" state="hidden" r:id="rId2"/>
    <sheet name="For STAAD" sheetId="7" r:id="rId3"/>
  </sheets>
  <definedNames>
    <definedName name="_xlnm.Print_Area" localSheetId="2">'For STAAD'!$A$1:$F$84</definedName>
    <definedName name="_xlnm.Print_Area" localSheetId="0">'WL-Single Gable-MBS'!$A$1:$J$344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7" l="1"/>
  <c r="B68" i="7"/>
  <c r="B59" i="7"/>
  <c r="B50" i="7"/>
  <c r="B41" i="7"/>
  <c r="B32" i="7"/>
  <c r="B23" i="7"/>
  <c r="B14" i="7"/>
  <c r="B82" i="7"/>
  <c r="B81" i="7"/>
  <c r="B80" i="7"/>
  <c r="B79" i="7"/>
  <c r="B73" i="7"/>
  <c r="B72" i="7"/>
  <c r="B71" i="7"/>
  <c r="B70" i="7"/>
  <c r="B18" i="6"/>
  <c r="B17" i="6"/>
  <c r="M147" i="5" l="1"/>
  <c r="S148" i="5" s="1"/>
  <c r="T148" i="5" s="1"/>
  <c r="M146" i="5"/>
  <c r="P150" i="5" s="1"/>
  <c r="P146" i="5" l="1"/>
  <c r="S150" i="5" s="1"/>
  <c r="S146" i="5"/>
  <c r="T146" i="5" s="1"/>
  <c r="P148" i="5"/>
  <c r="Q148" i="5" s="1"/>
  <c r="F270" i="5"/>
  <c r="B6" i="6"/>
  <c r="N147" i="5" l="1"/>
  <c r="N146" i="5"/>
  <c r="Q146" i="5"/>
  <c r="J147" i="5" l="1"/>
  <c r="E4" i="7"/>
  <c r="F10" i="5" l="1"/>
  <c r="F40" i="5" s="1"/>
  <c r="F139" i="5" s="1"/>
  <c r="B27" i="6"/>
  <c r="B2" i="6"/>
  <c r="B22" i="6" s="1"/>
  <c r="B23" i="6" s="1"/>
  <c r="B1" i="6"/>
  <c r="B24" i="6" s="1"/>
  <c r="B16" i="7"/>
  <c r="B17" i="7"/>
  <c r="B18" i="7"/>
  <c r="B19" i="7"/>
  <c r="B34" i="7"/>
  <c r="B35" i="7"/>
  <c r="B36" i="7"/>
  <c r="B37" i="7"/>
  <c r="B25" i="7"/>
  <c r="B26" i="7"/>
  <c r="B27" i="7"/>
  <c r="B28" i="7"/>
  <c r="B43" i="7"/>
  <c r="B44" i="7"/>
  <c r="B45" i="7"/>
  <c r="B46" i="7"/>
  <c r="B52" i="7"/>
  <c r="B53" i="7"/>
  <c r="B54" i="7"/>
  <c r="B55" i="7"/>
  <c r="B61" i="7"/>
  <c r="B62" i="7"/>
  <c r="B63" i="7"/>
  <c r="B64" i="7"/>
  <c r="B21" i="6"/>
  <c r="F198" i="5"/>
  <c r="F257" i="5" s="1"/>
  <c r="C262" i="5" s="1"/>
  <c r="D327" i="5"/>
  <c r="D364" i="5"/>
  <c r="F162" i="5"/>
  <c r="B32" i="6" s="1"/>
  <c r="D235" i="5"/>
  <c r="F36" i="5"/>
  <c r="F37" i="5"/>
  <c r="E235" i="5"/>
  <c r="C235" i="5"/>
  <c r="B235" i="5"/>
  <c r="C253" i="5"/>
  <c r="B240" i="5"/>
  <c r="D254" i="5" s="1"/>
  <c r="D253" i="5" s="1"/>
  <c r="E253" i="5"/>
  <c r="B253" i="5"/>
  <c r="C251" i="5"/>
  <c r="D251" i="5"/>
  <c r="E251" i="5"/>
  <c r="B251" i="5"/>
  <c r="C249" i="5"/>
  <c r="D249" i="5"/>
  <c r="E249" i="5"/>
  <c r="B249" i="5"/>
  <c r="C240" i="5"/>
  <c r="D240" i="5"/>
  <c r="E240" i="5"/>
  <c r="C239" i="5"/>
  <c r="D239" i="5"/>
  <c r="E239" i="5"/>
  <c r="B226" i="5"/>
  <c r="B239" i="5"/>
  <c r="C237" i="5"/>
  <c r="D237" i="5"/>
  <c r="E237" i="5"/>
  <c r="B237" i="5"/>
  <c r="C223" i="5"/>
  <c r="B225" i="5"/>
  <c r="B223" i="5"/>
  <c r="B221" i="5"/>
  <c r="F50" i="5"/>
  <c r="F52" i="5"/>
  <c r="F53" i="5"/>
  <c r="F54" i="5"/>
  <c r="F56" i="5"/>
  <c r="F57" i="5"/>
  <c r="F58" i="5"/>
  <c r="F59" i="5"/>
  <c r="F60" i="5"/>
  <c r="F61" i="5"/>
  <c r="F62" i="5"/>
  <c r="F63" i="5"/>
  <c r="F64" i="5"/>
  <c r="F74" i="5"/>
  <c r="F76" i="5"/>
  <c r="F77" i="5"/>
  <c r="F78" i="5"/>
  <c r="F80" i="5"/>
  <c r="F81" i="5"/>
  <c r="F82" i="5"/>
  <c r="F83" i="5"/>
  <c r="F84" i="5"/>
  <c r="F85" i="5"/>
  <c r="F86" i="5"/>
  <c r="F87" i="5"/>
  <c r="F88" i="5"/>
  <c r="F98" i="5"/>
  <c r="F100" i="5"/>
  <c r="F101" i="5"/>
  <c r="F102" i="5"/>
  <c r="F104" i="5"/>
  <c r="F105" i="5"/>
  <c r="F106" i="5"/>
  <c r="F107" i="5"/>
  <c r="F108" i="5"/>
  <c r="F109" i="5"/>
  <c r="F110" i="5"/>
  <c r="F111" i="5"/>
  <c r="F112" i="5"/>
  <c r="F122" i="5"/>
  <c r="F124" i="5"/>
  <c r="F125" i="5"/>
  <c r="F126" i="5"/>
  <c r="F128" i="5"/>
  <c r="F129" i="5"/>
  <c r="F130" i="5"/>
  <c r="F131" i="5"/>
  <c r="F132" i="5"/>
  <c r="F133" i="5"/>
  <c r="F134" i="5"/>
  <c r="F135" i="5"/>
  <c r="F136" i="5"/>
  <c r="C221" i="5"/>
  <c r="D221" i="5"/>
  <c r="E221" i="5"/>
  <c r="D223" i="5"/>
  <c r="E223" i="5"/>
  <c r="C225" i="5"/>
  <c r="D225" i="5"/>
  <c r="E225" i="5"/>
  <c r="C226" i="5"/>
  <c r="D226" i="5"/>
  <c r="E226" i="5"/>
  <c r="C264" i="5" l="1"/>
  <c r="F258" i="5"/>
  <c r="C263" i="5" s="1"/>
  <c r="F140" i="5"/>
  <c r="F143" i="5" s="1"/>
  <c r="F141" i="5"/>
  <c r="F161" i="5"/>
  <c r="B25" i="6"/>
  <c r="B26" i="6" s="1"/>
  <c r="H194" i="5" l="1"/>
  <c r="D194" i="5"/>
  <c r="E193" i="5"/>
  <c r="E194" i="5"/>
  <c r="F193" i="5"/>
  <c r="F194" i="5"/>
  <c r="G194" i="5"/>
  <c r="H193" i="5"/>
  <c r="D193" i="5"/>
  <c r="G193" i="5"/>
  <c r="D262" i="5"/>
  <c r="G263" i="5"/>
  <c r="F263" i="5"/>
  <c r="B31" i="6"/>
  <c r="G262" i="5"/>
  <c r="E263" i="5"/>
  <c r="E262" i="5"/>
  <c r="F262" i="5"/>
  <c r="D263" i="5"/>
  <c r="F144" i="5"/>
  <c r="F146" i="5" s="1"/>
  <c r="F150" i="5" s="1"/>
  <c r="B314" i="5" l="1"/>
  <c r="C314" i="5"/>
  <c r="E314" i="5"/>
  <c r="D314" i="5"/>
  <c r="F314" i="5"/>
  <c r="G314" i="5"/>
  <c r="B315" i="5"/>
  <c r="C315" i="5"/>
  <c r="E315" i="5"/>
  <c r="D315" i="5"/>
  <c r="G315" i="5"/>
  <c r="F315" i="5"/>
  <c r="E41" i="6"/>
  <c r="E36" i="6"/>
  <c r="E37" i="6"/>
  <c r="E40" i="6"/>
  <c r="F264" i="5"/>
  <c r="G264" i="5"/>
  <c r="B51" i="6" s="1"/>
  <c r="D264" i="5"/>
  <c r="B46" i="6" s="1"/>
  <c r="E264" i="5"/>
  <c r="B47" i="6" s="1"/>
  <c r="B9" i="6"/>
  <c r="B12" i="6" s="1"/>
  <c r="G313" i="5"/>
  <c r="H349" i="5"/>
  <c r="F313" i="5"/>
  <c r="B36" i="6"/>
  <c r="B37" i="6"/>
  <c r="B40" i="6"/>
  <c r="B41" i="6"/>
  <c r="H346" i="5"/>
  <c r="G310" i="5"/>
  <c r="F310" i="5"/>
  <c r="D349" i="5"/>
  <c r="E346" i="5" s="1"/>
  <c r="D313" i="5"/>
  <c r="E310" i="5" s="1"/>
  <c r="B313" i="5"/>
  <c r="C310" i="5" s="1"/>
  <c r="F349" i="5"/>
  <c r="G346" i="5" s="1"/>
  <c r="B349" i="5"/>
  <c r="C346" i="5" s="1"/>
  <c r="D310" i="5"/>
  <c r="E313" i="5" s="1"/>
  <c r="B310" i="5"/>
  <c r="C313" i="5" s="1"/>
  <c r="D346" i="5"/>
  <c r="E349" i="5" s="1"/>
  <c r="F346" i="5"/>
  <c r="G349" i="5" s="1"/>
  <c r="B346" i="5"/>
  <c r="C349" i="5" s="1"/>
  <c r="D328" i="5"/>
  <c r="B54" i="6" l="1"/>
  <c r="E79" i="6" s="1"/>
  <c r="B55" i="6"/>
  <c r="E80" i="6" s="1"/>
  <c r="E60" i="6"/>
  <c r="E59" i="6"/>
  <c r="E95" i="6"/>
  <c r="E64" i="6"/>
  <c r="E63" i="6"/>
  <c r="F151" i="5"/>
  <c r="K152" i="5" s="1"/>
  <c r="D347" i="5"/>
  <c r="E348" i="5" s="1"/>
  <c r="D311" i="5"/>
  <c r="E312" i="5" s="1"/>
  <c r="B347" i="5"/>
  <c r="C348" i="5" s="1"/>
  <c r="B311" i="5"/>
  <c r="C312" i="5" s="1"/>
  <c r="F348" i="5"/>
  <c r="G347" i="5" s="1"/>
  <c r="D348" i="5"/>
  <c r="E347" i="5" s="1"/>
  <c r="B348" i="5"/>
  <c r="C347" i="5" s="1"/>
  <c r="B312" i="5"/>
  <c r="C311" i="5" s="1"/>
  <c r="D312" i="5"/>
  <c r="E311" i="5" s="1"/>
  <c r="F347" i="5"/>
  <c r="G348" i="5" s="1"/>
  <c r="E62" i="6"/>
  <c r="E71" i="6"/>
  <c r="E61" i="6"/>
  <c r="E70" i="6"/>
  <c r="E105" i="6"/>
  <c r="E96" i="6"/>
  <c r="E69" i="6"/>
  <c r="E86" i="6"/>
  <c r="E77" i="6"/>
  <c r="G312" i="5"/>
  <c r="F311" i="5"/>
  <c r="G311" i="5"/>
  <c r="H347" i="5"/>
  <c r="B50" i="6"/>
  <c r="F312" i="5"/>
  <c r="H348" i="5"/>
  <c r="E104" i="6"/>
  <c r="E78" i="6"/>
  <c r="E68" i="6"/>
  <c r="E87" i="6"/>
  <c r="D329" i="5"/>
  <c r="E89" i="6" l="1"/>
  <c r="E88" i="6"/>
  <c r="E98" i="6"/>
  <c r="E97" i="6"/>
  <c r="F152" i="5"/>
  <c r="F279" i="5" s="1"/>
  <c r="D366" i="5"/>
  <c r="E107" i="6"/>
  <c r="E106" i="6"/>
  <c r="F301" i="5" l="1"/>
  <c r="A322" i="5"/>
  <c r="A323" i="5" s="1"/>
  <c r="B360" i="5"/>
  <c r="F285" i="5"/>
  <c r="H285" i="5" s="1"/>
  <c r="A360" i="5"/>
  <c r="B357" i="5"/>
  <c r="B358" i="5" s="1"/>
  <c r="F289" i="5"/>
  <c r="F297" i="5"/>
  <c r="H297" i="5" s="1"/>
  <c r="B14" i="6"/>
  <c r="F280" i="5"/>
  <c r="F284" i="5"/>
  <c r="H284" i="5" s="1"/>
  <c r="F287" i="5"/>
  <c r="G287" i="5" s="1"/>
  <c r="F298" i="5"/>
  <c r="H298" i="5" s="1"/>
  <c r="F286" i="5"/>
  <c r="H286" i="5" s="1"/>
  <c r="F300" i="5"/>
  <c r="A357" i="5"/>
  <c r="A358" i="5" s="1"/>
  <c r="F290" i="5"/>
  <c r="B322" i="5"/>
  <c r="B325" i="5" s="1"/>
  <c r="F296" i="5"/>
  <c r="H296" i="5" s="1"/>
  <c r="B105" i="6" l="1"/>
  <c r="B89" i="6"/>
  <c r="F89" i="6" s="1"/>
  <c r="B59" i="6"/>
  <c r="F59" i="6" s="1"/>
  <c r="B64" i="6"/>
  <c r="B72" i="6"/>
  <c r="B95" i="6"/>
  <c r="E61" i="7" s="1"/>
  <c r="B88" i="6"/>
  <c r="F88" i="6" s="1"/>
  <c r="B87" i="6"/>
  <c r="F87" i="6" s="1"/>
  <c r="B91" i="6"/>
  <c r="B63" i="6"/>
  <c r="B81" i="6"/>
  <c r="B90" i="6"/>
  <c r="B62" i="6"/>
  <c r="F62" i="6" s="1"/>
  <c r="B69" i="6"/>
  <c r="E37" i="7" s="1"/>
  <c r="B78" i="6"/>
  <c r="F78" i="6" s="1"/>
  <c r="B82" i="6"/>
  <c r="B109" i="6"/>
  <c r="B79" i="6"/>
  <c r="F79" i="6" s="1"/>
  <c r="B86" i="6"/>
  <c r="F86" i="6" s="1"/>
  <c r="B68" i="6"/>
  <c r="E34" i="7" s="1"/>
  <c r="B73" i="6"/>
  <c r="B100" i="6"/>
  <c r="B108" i="6"/>
  <c r="B96" i="6"/>
  <c r="B71" i="6"/>
  <c r="F71" i="6" s="1"/>
  <c r="B77" i="6"/>
  <c r="F77" i="6" s="1"/>
  <c r="B99" i="6"/>
  <c r="B70" i="6"/>
  <c r="E35" i="7" s="1"/>
  <c r="B60" i="6"/>
  <c r="F60" i="6" s="1"/>
  <c r="B61" i="6"/>
  <c r="F61" i="6" s="1"/>
  <c r="B80" i="6"/>
  <c r="E27" i="7" s="1"/>
  <c r="B97" i="6"/>
  <c r="B98" i="6"/>
  <c r="E63" i="7" s="1"/>
  <c r="B106" i="6"/>
  <c r="H301" i="5"/>
  <c r="G285" i="5"/>
  <c r="G297" i="5"/>
  <c r="C362" i="5" s="1"/>
  <c r="A359" i="5"/>
  <c r="B359" i="5"/>
  <c r="G290" i="5"/>
  <c r="G298" i="5"/>
  <c r="B107" i="6"/>
  <c r="B104" i="6"/>
  <c r="H287" i="5"/>
  <c r="G300" i="5"/>
  <c r="G284" i="5"/>
  <c r="H289" i="5"/>
  <c r="G286" i="5"/>
  <c r="A324" i="5"/>
  <c r="H290" i="5"/>
  <c r="G301" i="5"/>
  <c r="A325" i="5"/>
  <c r="G289" i="5"/>
  <c r="H300" i="5"/>
  <c r="G296" i="5"/>
  <c r="B323" i="5"/>
  <c r="B324" i="5"/>
  <c r="E80" i="7" l="1"/>
  <c r="E71" i="7"/>
  <c r="F107" i="6"/>
  <c r="E81" i="7"/>
  <c r="E72" i="7"/>
  <c r="E82" i="7"/>
  <c r="E73" i="7"/>
  <c r="F98" i="6"/>
  <c r="E53" i="7"/>
  <c r="E62" i="7"/>
  <c r="F96" i="6"/>
  <c r="E64" i="7"/>
  <c r="F104" i="6"/>
  <c r="E79" i="7"/>
  <c r="E70" i="7"/>
  <c r="F105" i="6"/>
  <c r="E52" i="7"/>
  <c r="F82" i="6"/>
  <c r="F64" i="6"/>
  <c r="F108" i="6"/>
  <c r="F81" i="6"/>
  <c r="F63" i="6"/>
  <c r="F109" i="6"/>
  <c r="B362" i="5"/>
  <c r="E55" i="7"/>
  <c r="F106" i="6"/>
  <c r="F95" i="6"/>
  <c r="F80" i="6"/>
  <c r="E19" i="7"/>
  <c r="F68" i="6"/>
  <c r="E16" i="7"/>
  <c r="E44" i="7"/>
  <c r="C360" i="5"/>
  <c r="F97" i="6"/>
  <c r="E28" i="7"/>
  <c r="E45" i="7"/>
  <c r="E17" i="7"/>
  <c r="E46" i="7"/>
  <c r="E18" i="7"/>
  <c r="F69" i="6"/>
  <c r="F70" i="6"/>
  <c r="E26" i="7"/>
  <c r="E36" i="7"/>
  <c r="E54" i="7"/>
  <c r="E43" i="7"/>
  <c r="E25" i="7"/>
  <c r="A361" i="5"/>
  <c r="A337" i="5"/>
  <c r="A341" i="5" s="1"/>
  <c r="A362" i="5"/>
  <c r="B337" i="5"/>
  <c r="B339" i="5" s="1"/>
  <c r="B361" i="5"/>
  <c r="A340" i="5" l="1"/>
  <c r="A338" i="5"/>
  <c r="A339" i="5"/>
  <c r="B341" i="5"/>
  <c r="B338" i="5"/>
  <c r="B340" i="5"/>
</calcChain>
</file>

<file path=xl/sharedStrings.xml><?xml version="1.0" encoding="utf-8"?>
<sst xmlns="http://schemas.openxmlformats.org/spreadsheetml/2006/main" count="577" uniqueCount="267">
  <si>
    <t>C</t>
  </si>
  <si>
    <t>m/sec</t>
  </si>
  <si>
    <t>Years</t>
  </si>
  <si>
    <t>KN/m^2</t>
  </si>
  <si>
    <t>m</t>
  </si>
  <si>
    <t>meters</t>
  </si>
  <si>
    <r>
      <t>K1</t>
    </r>
    <r>
      <rPr>
        <sz val="10"/>
        <rFont val="Arial"/>
        <family val="2"/>
      </rPr>
      <t>-Risk Coeff.</t>
    </r>
  </si>
  <si>
    <r>
      <t>Vz</t>
    </r>
    <r>
      <rPr>
        <sz val="10"/>
        <rFont val="Arial"/>
        <family val="2"/>
      </rPr>
      <t xml:space="preserve">-Design wind speed </t>
    </r>
  </si>
  <si>
    <t>h/w</t>
  </si>
  <si>
    <r>
      <t>h1</t>
    </r>
    <r>
      <rPr>
        <sz val="10"/>
        <rFont val="Arial"/>
        <family val="2"/>
      </rPr>
      <t>-Height of plinth</t>
    </r>
  </si>
  <si>
    <r>
      <t>h2</t>
    </r>
    <r>
      <rPr>
        <sz val="10"/>
        <rFont val="Arial"/>
        <family val="2"/>
      </rPr>
      <t>-Eaves height from FFL</t>
    </r>
  </si>
  <si>
    <r>
      <t>h3</t>
    </r>
    <r>
      <rPr>
        <sz val="10"/>
        <rFont val="Arial"/>
        <family val="2"/>
      </rPr>
      <t>-Height of ridge above eves</t>
    </r>
  </si>
  <si>
    <r>
      <t>L</t>
    </r>
    <r>
      <rPr>
        <sz val="10"/>
        <rFont val="Arial"/>
        <family val="2"/>
      </rPr>
      <t>-Length of building (Greater hoz dim. Of bldg.)</t>
    </r>
  </si>
  <si>
    <t>L/w</t>
  </si>
  <si>
    <r>
      <t>w</t>
    </r>
    <r>
      <rPr>
        <sz val="10"/>
        <rFont val="Arial"/>
        <family val="2"/>
      </rPr>
      <t>-Width of building Lesser hoz dim. Of bldg.)</t>
    </r>
  </si>
  <si>
    <t>Project</t>
  </si>
  <si>
    <t>Building</t>
  </si>
  <si>
    <t>A</t>
  </si>
  <si>
    <t>B</t>
  </si>
  <si>
    <t>D</t>
  </si>
  <si>
    <t>Roof Angle in degrees</t>
  </si>
  <si>
    <t>KN/m</t>
  </si>
  <si>
    <t xml:space="preserve">Wind Load due to Internal +ve </t>
  </si>
  <si>
    <t>Net Wind Load with</t>
  </si>
  <si>
    <t>Int +ve</t>
  </si>
  <si>
    <t>Int -ve</t>
  </si>
  <si>
    <t xml:space="preserve">C/C of Frames/Portal/Columns </t>
  </si>
  <si>
    <r>
      <t>P</t>
    </r>
    <r>
      <rPr>
        <sz val="6"/>
        <rFont val="Arial"/>
        <family val="2"/>
      </rPr>
      <t>N</t>
    </r>
  </si>
  <si>
    <r>
      <t>V</t>
    </r>
    <r>
      <rPr>
        <sz val="6"/>
        <rFont val="Arial"/>
        <family val="2"/>
      </rPr>
      <t>b</t>
    </r>
  </si>
  <si>
    <t>A =</t>
  </si>
  <si>
    <t>B =</t>
  </si>
  <si>
    <t>Category</t>
  </si>
  <si>
    <r>
      <t>H</t>
    </r>
    <r>
      <rPr>
        <sz val="6"/>
        <rFont val="Arial"/>
        <family val="2"/>
      </rPr>
      <t>T</t>
    </r>
  </si>
  <si>
    <r>
      <t>H</t>
    </r>
    <r>
      <rPr>
        <sz val="6"/>
        <rFont val="Arial"/>
        <family val="2"/>
      </rPr>
      <t>T =</t>
    </r>
  </si>
  <si>
    <r>
      <t>H</t>
    </r>
    <r>
      <rPr>
        <sz val="6"/>
        <rFont val="Arial"/>
        <family val="2"/>
      </rPr>
      <t>T1 =</t>
    </r>
  </si>
  <si>
    <r>
      <t>H</t>
    </r>
    <r>
      <rPr>
        <sz val="6"/>
        <rFont val="Arial"/>
        <family val="2"/>
      </rPr>
      <t>T2 =</t>
    </r>
  </si>
  <si>
    <t>Col =</t>
  </si>
  <si>
    <r>
      <t>K</t>
    </r>
    <r>
      <rPr>
        <sz val="6"/>
        <rFont val="Arial"/>
        <family val="2"/>
      </rPr>
      <t>21</t>
    </r>
    <r>
      <rPr>
        <sz val="10"/>
        <rFont val="Arial"/>
        <family val="2"/>
      </rPr>
      <t xml:space="preserve"> =</t>
    </r>
  </si>
  <si>
    <r>
      <t>K</t>
    </r>
    <r>
      <rPr>
        <sz val="6"/>
        <rFont val="Arial"/>
        <family val="2"/>
      </rPr>
      <t>22</t>
    </r>
    <r>
      <rPr>
        <sz val="10"/>
        <rFont val="Arial"/>
        <family val="2"/>
      </rPr>
      <t xml:space="preserve"> =</t>
    </r>
  </si>
  <si>
    <r>
      <t>V</t>
    </r>
    <r>
      <rPr>
        <b/>
        <sz val="6"/>
        <rFont val="Arial"/>
        <family val="2"/>
      </rPr>
      <t>b</t>
    </r>
    <r>
      <rPr>
        <sz val="10"/>
        <rFont val="Arial"/>
        <family val="2"/>
      </rPr>
      <t xml:space="preserve">-Basic wind speed </t>
    </r>
  </si>
  <si>
    <r>
      <t>N</t>
    </r>
    <r>
      <rPr>
        <sz val="10"/>
        <rFont val="Arial"/>
        <family val="2"/>
      </rPr>
      <t xml:space="preserve">-Design life of structure; mean probable </t>
    </r>
  </si>
  <si>
    <t>Terrain Category</t>
  </si>
  <si>
    <t>Class of Building</t>
  </si>
  <si>
    <r>
      <t>K</t>
    </r>
    <r>
      <rPr>
        <b/>
        <sz val="6"/>
        <rFont val="Arial"/>
        <family val="2"/>
      </rPr>
      <t>2</t>
    </r>
    <r>
      <rPr>
        <sz val="10"/>
        <rFont val="Arial"/>
        <family val="2"/>
      </rPr>
      <t>-Terrain,Str-height &amp;size factor</t>
    </r>
  </si>
  <si>
    <r>
      <t>K</t>
    </r>
    <r>
      <rPr>
        <b/>
        <sz val="6"/>
        <rFont val="Arial"/>
        <family val="2"/>
      </rPr>
      <t>3</t>
    </r>
    <r>
      <rPr>
        <sz val="10"/>
        <rFont val="Arial"/>
        <family val="2"/>
      </rPr>
      <t>-Topography Factor</t>
    </r>
  </si>
  <si>
    <r>
      <t>H</t>
    </r>
    <r>
      <rPr>
        <b/>
        <sz val="6"/>
        <rFont val="Arial"/>
        <family val="2"/>
      </rPr>
      <t>T</t>
    </r>
    <r>
      <rPr>
        <sz val="10"/>
        <rFont val="Arial"/>
        <family val="2"/>
      </rPr>
      <t xml:space="preserve"> Max Height of building from FGL</t>
    </r>
  </si>
  <si>
    <t>Table 2-IS-875 (Part3) 1987</t>
  </si>
  <si>
    <t xml:space="preserve">For VLOOKUP  </t>
  </si>
  <si>
    <r>
      <t>For H</t>
    </r>
    <r>
      <rPr>
        <sz val="6"/>
        <rFont val="Arial"/>
        <family val="2"/>
      </rPr>
      <t xml:space="preserve">T2  </t>
    </r>
    <r>
      <rPr>
        <sz val="10"/>
        <rFont val="Arial"/>
        <family val="2"/>
      </rPr>
      <t xml:space="preserve">height </t>
    </r>
  </si>
  <si>
    <r>
      <t>For H</t>
    </r>
    <r>
      <rPr>
        <sz val="6"/>
        <rFont val="Arial"/>
        <family val="2"/>
      </rPr>
      <t xml:space="preserve">T1  </t>
    </r>
    <r>
      <rPr>
        <sz val="10"/>
        <rFont val="Arial"/>
        <family val="2"/>
      </rPr>
      <t xml:space="preserve">height </t>
    </r>
  </si>
  <si>
    <t>Category1- Exposed open terrain with few or no obstructions having heights less than 1.5m.</t>
  </si>
  <si>
    <t>Category2- Open terrain with well scattered obstructions having heights between 1.5m.&amp; 10m.</t>
  </si>
  <si>
    <t>Category3- Terrain with numerous closely spaced obstructions having heights around 10m.</t>
  </si>
  <si>
    <t>Category4- Terrain with numerous closely spaced high obstructions</t>
  </si>
  <si>
    <t>Table-1-IS 875 (Part3)-1987</t>
  </si>
  <si>
    <t>Table No.4 IS 875 (Part3) -1987</t>
  </si>
  <si>
    <t>l/w</t>
  </si>
  <si>
    <t>Wind Angle</t>
  </si>
  <si>
    <t>1-1.5</t>
  </si>
  <si>
    <t>1.5-4.0</t>
  </si>
  <si>
    <t>0.5-1.5</t>
  </si>
  <si>
    <t>1.5-6.0</t>
  </si>
  <si>
    <r>
      <t>6.0-</t>
    </r>
    <r>
      <rPr>
        <sz val="12"/>
        <rFont val="Times New Roman"/>
        <family val="1"/>
      </rPr>
      <t>α</t>
    </r>
    <r>
      <rPr>
        <sz val="10"/>
        <rFont val="Arial"/>
        <family val="2"/>
      </rPr>
      <t>.</t>
    </r>
  </si>
  <si>
    <t>h-Eaves height from FGL</t>
  </si>
  <si>
    <t xml:space="preserve"> +ve sign indicates force acting towards the mem, -ve sign indicates force acting away from mem</t>
  </si>
  <si>
    <t>Class-A - Structure &amp; or compo like cladding, roofing etc having greatest Hoz Or Vert dim &lt; 20m.</t>
  </si>
  <si>
    <t>Class-C - Structure &amp; or compo like cladding, roofing etc having greatest Hoz Or Vert dim &gt; 50m.</t>
  </si>
  <si>
    <t>Class-B - Structure &amp; or compo like cladding, roofing etc having greatest Hoz Or Vert dim bet 20-50</t>
  </si>
  <si>
    <t>Local</t>
  </si>
  <si>
    <t xml:space="preserve">Roof </t>
  </si>
  <si>
    <t>Angle</t>
  </si>
  <si>
    <r>
      <t>Wind Angle 0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^</t>
    </r>
    <r>
      <rPr>
        <sz val="10"/>
        <rFont val="Arial"/>
        <family val="2"/>
      </rPr>
      <t xml:space="preserve"> to ridge</t>
    </r>
  </si>
  <si>
    <r>
      <t>0</t>
    </r>
    <r>
      <rPr>
        <vertAlign val="superscript"/>
        <sz val="10"/>
        <rFont val="Arial"/>
        <family val="2"/>
      </rPr>
      <t xml:space="preserve">o </t>
    </r>
    <r>
      <rPr>
        <sz val="10"/>
        <rFont val="Symbol"/>
        <family val="1"/>
        <charset val="2"/>
      </rPr>
      <t xml:space="preserve">^ </t>
    </r>
    <r>
      <rPr>
        <sz val="10"/>
        <rFont val="Arial"/>
        <family val="2"/>
      </rPr>
      <t>to wall</t>
    </r>
  </si>
  <si>
    <r>
      <t>90</t>
    </r>
    <r>
      <rPr>
        <vertAlign val="superscript"/>
        <sz val="10"/>
        <rFont val="Arial"/>
        <family val="2"/>
      </rPr>
      <t>o</t>
    </r>
    <r>
      <rPr>
        <i/>
        <sz val="10"/>
        <rFont val="Arial"/>
        <family val="2"/>
      </rPr>
      <t>II</t>
    </r>
    <r>
      <rPr>
        <sz val="10"/>
        <rFont val="Arial"/>
        <family val="2"/>
      </rPr>
      <t>to wall</t>
    </r>
  </si>
  <si>
    <r>
      <t>0</t>
    </r>
    <r>
      <rPr>
        <vertAlign val="superscript"/>
        <sz val="10"/>
        <rFont val="Arial"/>
        <family val="2"/>
      </rPr>
      <t>o</t>
    </r>
  </si>
  <si>
    <r>
      <t>90</t>
    </r>
    <r>
      <rPr>
        <vertAlign val="superscript"/>
        <sz val="10"/>
        <rFont val="Arial"/>
        <family val="2"/>
      </rPr>
      <t>o</t>
    </r>
  </si>
  <si>
    <t>q</t>
  </si>
  <si>
    <t>Wind</t>
  </si>
  <si>
    <t>Plan</t>
  </si>
  <si>
    <t>h</t>
  </si>
  <si>
    <t>w</t>
  </si>
  <si>
    <t>Elevation</t>
  </si>
  <si>
    <t>Wind Drag</t>
  </si>
  <si>
    <t>Wind Load on Windward Wall-A</t>
  </si>
  <si>
    <t>Wind Load on Leeward wall-B</t>
  </si>
  <si>
    <t xml:space="preserve">C/C of Gable end columns </t>
  </si>
  <si>
    <r>
      <t>Wind @ 90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 xml:space="preserve">- </t>
    </r>
    <r>
      <rPr>
        <b/>
        <i/>
        <sz val="10"/>
        <rFont val="Arial"/>
        <family val="2"/>
      </rPr>
      <t>II</t>
    </r>
    <r>
      <rPr>
        <b/>
        <sz val="10"/>
        <rFont val="Symbol"/>
        <family val="1"/>
        <charset val="2"/>
      </rPr>
      <t xml:space="preserve"> </t>
    </r>
    <r>
      <rPr>
        <b/>
        <sz val="10"/>
        <rFont val="Arial"/>
        <family val="2"/>
      </rPr>
      <t>to ridge</t>
    </r>
  </si>
  <si>
    <r>
      <t>Wind @ 0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^ </t>
    </r>
    <r>
      <rPr>
        <b/>
        <sz val="10"/>
        <rFont val="Arial"/>
        <family val="2"/>
      </rPr>
      <t>to ridge</t>
    </r>
  </si>
  <si>
    <t>Wind Load on all roof slopes</t>
  </si>
  <si>
    <t>Wind Load on windward gable wall-C</t>
  </si>
  <si>
    <t>Wind Load on Leeward gable wall-D</t>
  </si>
  <si>
    <t>Wind Load on Gable wall-C</t>
  </si>
  <si>
    <t>Wind Load on Gable wall-D</t>
  </si>
  <si>
    <t>Wind Load on eves wall-A</t>
  </si>
  <si>
    <t>Wind Load on eves wall-B</t>
  </si>
  <si>
    <t>Gable Col</t>
  </si>
  <si>
    <t>Eves Col</t>
  </si>
  <si>
    <t>Ext Wind Load</t>
  </si>
  <si>
    <t>Local coeff = -2.0</t>
  </si>
  <si>
    <t>Table No.5 IS 875 (Part3) -1987</t>
  </si>
  <si>
    <t>L</t>
  </si>
  <si>
    <t>E</t>
  </si>
  <si>
    <t>F</t>
  </si>
  <si>
    <t>G</t>
  </si>
  <si>
    <t>H</t>
  </si>
  <si>
    <t>EF</t>
  </si>
  <si>
    <t>GH</t>
  </si>
  <si>
    <t>EG</t>
  </si>
  <si>
    <t>FH</t>
  </si>
  <si>
    <r>
      <t>Wind Angle</t>
    </r>
    <r>
      <rPr>
        <sz val="10"/>
        <rFont val="Symbol"/>
        <family val="1"/>
        <charset val="2"/>
      </rPr>
      <t xml:space="preserve">q </t>
    </r>
    <r>
      <rPr>
        <sz val="10"/>
        <rFont val="Arial"/>
        <family val="2"/>
      </rPr>
      <t>= 0</t>
    </r>
    <r>
      <rPr>
        <vertAlign val="superscript"/>
        <sz val="10"/>
        <rFont val="Arial"/>
        <family val="2"/>
      </rPr>
      <t>o</t>
    </r>
  </si>
  <si>
    <r>
      <t>Wind Angle</t>
    </r>
    <r>
      <rPr>
        <sz val="10"/>
        <rFont val="Symbol"/>
        <family val="1"/>
        <charset val="2"/>
      </rPr>
      <t xml:space="preserve">q </t>
    </r>
    <r>
      <rPr>
        <sz val="10"/>
        <rFont val="Arial"/>
        <family val="2"/>
      </rPr>
      <t>= 90</t>
    </r>
    <r>
      <rPr>
        <vertAlign val="superscript"/>
        <sz val="10"/>
        <rFont val="Arial"/>
        <family val="2"/>
      </rPr>
      <t>o</t>
    </r>
  </si>
  <si>
    <t>h/w &lt;=0.5</t>
  </si>
  <si>
    <t>0.5&lt; h/w &lt;=1.5</t>
  </si>
  <si>
    <t>1.5&lt; h/w &lt; 6.0</t>
  </si>
  <si>
    <t>Wind Load on leeward roof slope-GH</t>
  </si>
  <si>
    <t>Wind Load on windward roof slope-EF</t>
  </si>
  <si>
    <t>Roof Angle-1</t>
  </si>
  <si>
    <t>Roof Angle-2</t>
  </si>
  <si>
    <t>Opennings not more than 5% of wall area</t>
  </si>
  <si>
    <t>Opennings between 5% to 20% of wall area</t>
  </si>
  <si>
    <t>Opennings larger than than 20% of wall area</t>
  </si>
  <si>
    <r>
      <t>C</t>
    </r>
    <r>
      <rPr>
        <b/>
        <sz val="6"/>
        <rFont val="Arial"/>
        <family val="2"/>
      </rPr>
      <t>pi</t>
    </r>
    <r>
      <rPr>
        <b/>
        <sz val="10"/>
        <rFont val="Arial"/>
        <family val="2"/>
      </rPr>
      <t>-Internal Pressure Coeff</t>
    </r>
  </si>
  <si>
    <r>
      <t>C</t>
    </r>
    <r>
      <rPr>
        <b/>
        <sz val="6"/>
        <rFont val="Arial"/>
        <family val="2"/>
      </rPr>
      <t>pe</t>
    </r>
    <r>
      <rPr>
        <b/>
        <sz val="10"/>
        <rFont val="Arial"/>
        <family val="2"/>
      </rPr>
      <t>-External Pressure coeff for Pitched Roof of Single Span Bldg.</t>
    </r>
  </si>
  <si>
    <r>
      <t>C</t>
    </r>
    <r>
      <rPr>
        <b/>
        <sz val="6"/>
        <rFont val="Arial"/>
        <family val="2"/>
      </rPr>
      <t>pe</t>
    </r>
    <r>
      <rPr>
        <b/>
        <sz val="10"/>
        <rFont val="Arial"/>
        <family val="2"/>
      </rPr>
      <t>-External Pressure coeff for walls</t>
    </r>
  </si>
  <si>
    <t>*(23) WIND COEFFICIENTS</t>
  </si>
  <si>
    <t>*(39) WIND COEFFICIENTS</t>
  </si>
  <si>
    <t>Wind_ 1</t>
  </si>
  <si>
    <t>Wind_ 2</t>
  </si>
  <si>
    <t>Long _Wind</t>
  </si>
  <si>
    <t>*Surf</t>
  </si>
  <si>
    <t>*Id</t>
  </si>
  <si>
    <t>Surface</t>
  </si>
  <si>
    <t>Friction</t>
  </si>
  <si>
    <t>Left</t>
  </si>
  <si>
    <t>Right</t>
  </si>
  <si>
    <t xml:space="preserve"> Rafter_Wind_ 1</t>
  </si>
  <si>
    <t>Rafter_Wind_ 2</t>
  </si>
  <si>
    <t>Bracing _Wind</t>
  </si>
  <si>
    <t>Long</t>
  </si>
  <si>
    <t>*(19)WIND PRESSURE/SUCTION:</t>
  </si>
  <si>
    <t>*Wind</t>
  </si>
  <si>
    <t>*Pressure</t>
  </si>
  <si>
    <t>*Suction</t>
  </si>
  <si>
    <t>..Parapet Girt</t>
  </si>
  <si>
    <t>..Jamb</t>
  </si>
  <si>
    <t>..Panel</t>
  </si>
  <si>
    <t>..Girt/Header</t>
  </si>
  <si>
    <t>FRONT / BACK SIDE WALL</t>
  </si>
  <si>
    <t>*(38)WIND PRESSURE/SUCTION:</t>
  </si>
  <si>
    <t>*</t>
  </si>
  <si>
    <t>..Column</t>
  </si>
  <si>
    <t>LEFT/RIGHT ENDWALL</t>
  </si>
  <si>
    <t xml:space="preserve">ROOF DESIGN </t>
  </si>
  <si>
    <t>..Purlins</t>
  </si>
  <si>
    <t>..Purlins, Gable Extension</t>
  </si>
  <si>
    <t>..Interior Roof Panels</t>
  </si>
  <si>
    <t>..Long Bracing,Building</t>
  </si>
  <si>
    <t>..Long Bracing,Wall Edge Zone</t>
  </si>
  <si>
    <t>..Long Bracing,Facia/Parapet</t>
  </si>
  <si>
    <t>*Suct_Roof</t>
  </si>
  <si>
    <t>EDGE/ CORNER ZONE (MM)</t>
  </si>
  <si>
    <t>LOCAL COEFF</t>
  </si>
  <si>
    <t xml:space="preserve">RATIO LOCAL TO AVERAGE </t>
  </si>
  <si>
    <t>LOCAL COEFF.(INCL INT SUCT.)</t>
  </si>
  <si>
    <t>RIGID FRAME COEFFICIENT</t>
  </si>
  <si>
    <t>Roof Slope</t>
  </si>
  <si>
    <t xml:space="preserve">Back Roof Plane = </t>
  </si>
  <si>
    <t>Near Roof Plane =</t>
  </si>
  <si>
    <t>Back Sidewall Wall =</t>
  </si>
  <si>
    <t>Near Sidewall Wall</t>
  </si>
  <si>
    <t>Value</t>
  </si>
  <si>
    <t>Members</t>
  </si>
  <si>
    <t>Cp x pz</t>
  </si>
  <si>
    <t>Cp</t>
  </si>
  <si>
    <t>Wind Parallel Suction</t>
  </si>
  <si>
    <t>Wind Parallel Pressure</t>
  </si>
  <si>
    <t>Wind Suction Right To Left</t>
  </si>
  <si>
    <t>Wind Pressure Right To Left</t>
  </si>
  <si>
    <t>Wind Suction Left to Right</t>
  </si>
  <si>
    <t>Wind Pressure Left to Right</t>
  </si>
  <si>
    <t>Far Roof Plane =</t>
  </si>
  <si>
    <t>For Wind Angle  90 Degree</t>
  </si>
  <si>
    <r>
      <t>6.0-</t>
    </r>
    <r>
      <rPr>
        <b/>
        <sz val="12"/>
        <rFont val="Times New Roman"/>
        <family val="1"/>
      </rPr>
      <t>α</t>
    </r>
    <r>
      <rPr>
        <b/>
        <sz val="10"/>
        <rFont val="Arial"/>
        <family val="2"/>
      </rPr>
      <t>.</t>
    </r>
  </si>
  <si>
    <t>For Wind Angle  0 Degree</t>
  </si>
  <si>
    <t>External Pressure Coefficient for Roof of rectangular Clad building</t>
  </si>
  <si>
    <t>External Pressure Coefficient for Wall of rectangular Clad building</t>
  </si>
  <si>
    <t>L/w =</t>
  </si>
  <si>
    <t>h/w =</t>
  </si>
  <si>
    <t>External Pressure Coefficient Calculation Cpe</t>
  </si>
  <si>
    <t>Hence Cpe =</t>
  </si>
  <si>
    <t>%</t>
  </si>
  <si>
    <t>Percentage of openings =</t>
  </si>
  <si>
    <t>Total wall area=</t>
  </si>
  <si>
    <t>Sidewall area =</t>
  </si>
  <si>
    <t>Endwall wall area =</t>
  </si>
  <si>
    <t>Ridge Height =</t>
  </si>
  <si>
    <t>External Pressure Coefficient for walls of rectangular clad building</t>
  </si>
  <si>
    <t>Degrees</t>
  </si>
  <si>
    <t>Roof angle=</t>
  </si>
  <si>
    <t>Internal Pressure Coefficient Calculation Cpi</t>
  </si>
  <si>
    <t>Framed opening area =</t>
  </si>
  <si>
    <t>Kn/m2</t>
  </si>
  <si>
    <t>Design wind pressure pz =</t>
  </si>
  <si>
    <t>m/s</t>
  </si>
  <si>
    <t>Design Wind Speed Vz =</t>
  </si>
  <si>
    <t>Topography Factor k3 =</t>
  </si>
  <si>
    <t xml:space="preserve">Terrain, ht &amp; structure size factor k2= </t>
  </si>
  <si>
    <t>Probability Factor k1=</t>
  </si>
  <si>
    <t>Basic Wind Speed Vb =</t>
  </si>
  <si>
    <t xml:space="preserve">in </t>
  </si>
  <si>
    <t>Roof Slope =</t>
  </si>
  <si>
    <t>Eave Height (h)=</t>
  </si>
  <si>
    <t>Width O/O (Shorter Dim) (w) =</t>
  </si>
  <si>
    <t>Building Length (Longer dim) (l) =</t>
  </si>
  <si>
    <t>GX</t>
  </si>
  <si>
    <t>UNI</t>
  </si>
  <si>
    <t>Y</t>
  </si>
  <si>
    <t>MEMBER LOAD</t>
  </si>
  <si>
    <t>************WIND PRESSURE RIGHT TO LEFT*********</t>
  </si>
  <si>
    <t>************WIND SUCTION LEFT TO RIGHT*********</t>
  </si>
  <si>
    <t>************WIND PRESSURE LEFT TO RIGHT*********</t>
  </si>
  <si>
    <t xml:space="preserve">Enter the member ids for Right column </t>
  </si>
  <si>
    <t>Enter the member ids for Right rafter</t>
  </si>
  <si>
    <t xml:space="preserve">Enter the member ids for Left rafter </t>
  </si>
  <si>
    <t>Enter the member ids for Left column</t>
  </si>
  <si>
    <t>Enter the 1st load combination number for wind load</t>
  </si>
  <si>
    <t>Staad output</t>
  </si>
  <si>
    <t>Enter the Tributary area on frames in mts</t>
  </si>
  <si>
    <t>21 59 60 67 TO 70</t>
  </si>
  <si>
    <t>Support</t>
  </si>
  <si>
    <t>EQ Zone</t>
  </si>
  <si>
    <t>DL</t>
  </si>
  <si>
    <t>kN / sqm</t>
  </si>
  <si>
    <t>LL</t>
  </si>
  <si>
    <t>CL</t>
  </si>
  <si>
    <t>Openings</t>
  </si>
  <si>
    <r>
      <t>Wind Angle</t>
    </r>
    <r>
      <rPr>
        <sz val="10"/>
        <rFont val="Symbol"/>
        <family val="1"/>
        <charset val="2"/>
      </rPr>
      <t xml:space="preserve">q </t>
    </r>
    <r>
      <rPr>
        <sz val="10"/>
        <rFont val="Arial"/>
        <family val="2"/>
      </rPr>
      <t>= 180</t>
    </r>
    <r>
      <rPr>
        <vertAlign val="superscript"/>
        <sz val="10"/>
        <rFont val="Arial"/>
        <family val="2"/>
      </rPr>
      <t>o</t>
    </r>
  </si>
  <si>
    <t>For Wind Angle  180 Degree</t>
  </si>
  <si>
    <r>
      <rPr>
        <b/>
        <sz val="10"/>
        <rFont val="Verdana"/>
        <family val="2"/>
      </rPr>
      <t>K</t>
    </r>
    <r>
      <rPr>
        <b/>
        <vertAlign val="subscript"/>
        <sz val="10"/>
        <rFont val="Verdana"/>
        <family val="2"/>
      </rPr>
      <t>4</t>
    </r>
    <r>
      <rPr>
        <sz val="10"/>
        <rFont val="Verdana"/>
        <family val="2"/>
      </rPr>
      <t xml:space="preserve">-Cyclonic Region Factor </t>
    </r>
  </si>
  <si>
    <r>
      <t>Directionaly Factor K</t>
    </r>
    <r>
      <rPr>
        <vertAlign val="subscript"/>
        <sz val="9"/>
        <rFont val="Verdana"/>
        <family val="2"/>
      </rPr>
      <t>d</t>
    </r>
  </si>
  <si>
    <t>Area Factor Ka</t>
  </si>
  <si>
    <r>
      <t>Combination Factor K</t>
    </r>
    <r>
      <rPr>
        <vertAlign val="subscript"/>
        <sz val="9"/>
        <rFont val="Verdana"/>
        <family val="2"/>
      </rPr>
      <t>c</t>
    </r>
  </si>
  <si>
    <r>
      <t>Pd</t>
    </r>
    <r>
      <rPr>
        <sz val="10"/>
        <rFont val="Arial"/>
        <family val="2"/>
      </rPr>
      <t xml:space="preserve">-Design wind pressure </t>
    </r>
  </si>
  <si>
    <r>
      <t>Pz</t>
    </r>
    <r>
      <rPr>
        <sz val="10"/>
        <rFont val="Arial"/>
        <family val="2"/>
      </rPr>
      <t xml:space="preserve">-Wind pressure </t>
    </r>
  </si>
  <si>
    <t>Ka</t>
  </si>
  <si>
    <t>Roof Area</t>
  </si>
  <si>
    <t>Wall Area</t>
  </si>
  <si>
    <t>Fix</t>
  </si>
  <si>
    <t>Trib Endwall</t>
  </si>
  <si>
    <t>Trib Sidewall</t>
  </si>
  <si>
    <t>Back End Wall =</t>
  </si>
  <si>
    <t>Front End Wall  =</t>
  </si>
  <si>
    <t>C =</t>
  </si>
  <si>
    <t>D =</t>
  </si>
  <si>
    <t>Load Tributary / sidewall Spacing =</t>
  </si>
  <si>
    <t>Load Tributary / Endwall Spacing =</t>
  </si>
  <si>
    <t>WIND LOAD CASES</t>
  </si>
  <si>
    <t>M</t>
  </si>
  <si>
    <t>************WIND PARALLEL PRESSURE GABLE-1*********</t>
  </si>
  <si>
    <t>************WIND PARALLEL PRESSURE GABLE-2********</t>
  </si>
  <si>
    <t>************WIND PARALLEL SUCTION GABLE-1*********</t>
  </si>
  <si>
    <t>************WIND PARALLEL SUCTION GABLE-2********</t>
  </si>
  <si>
    <t>************WIND SUCTION RIGHT TO LEFT*********</t>
  </si>
  <si>
    <t>Load Calculation Sheet</t>
  </si>
  <si>
    <t>Nahar Industries Enterprises Ltd.</t>
  </si>
  <si>
    <t>IV</t>
  </si>
  <si>
    <t>&lt;5%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</si>
</sst>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\:"/>
    <numFmt numFmtId="166" formatCode="0.000"/>
  </numFmts>
  <fonts count="2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Symbol"/>
      <family val="1"/>
      <charset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name val="Symbol"/>
      <family val="1"/>
      <charset val="2"/>
    </font>
    <font>
      <b/>
      <i/>
      <sz val="10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12"/>
      <name val="Times New Roman"/>
      <family val="1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  <font>
      <b/>
      <sz val="12"/>
      <name val="Times New Roman"/>
      <family val="1"/>
    </font>
    <font>
      <sz val="10"/>
      <color indexed="10"/>
      <name val="Arial"/>
      <family val="2"/>
    </font>
    <font>
      <sz val="10"/>
      <name val="Verdana"/>
      <family val="2"/>
    </font>
    <font>
      <b/>
      <sz val="10"/>
      <name val="Verdana"/>
      <family val="2"/>
    </font>
    <font>
      <b/>
      <vertAlign val="subscript"/>
      <sz val="10"/>
      <name val="Verdana"/>
      <family val="2"/>
    </font>
    <font>
      <sz val="9"/>
      <name val="Verdana"/>
      <family val="2"/>
    </font>
    <font>
      <vertAlign val="subscript"/>
      <sz val="9"/>
      <name val="Verdana"/>
      <family val="2"/>
    </font>
    <font>
      <b/>
      <sz val="9"/>
      <color indexed="12"/>
      <name val="Verdana"/>
      <family val="2"/>
    </font>
    <font>
      <b/>
      <sz val="12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 diagonalDown="1">
      <left/>
      <right/>
      <top/>
      <bottom/>
      <diagonal style="medium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 diagonalUp="1">
      <left/>
      <right/>
      <top/>
      <bottom/>
      <diagonal style="medium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4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1" xfId="0" applyNumberFormat="1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2" fontId="0" fillId="0" borderId="0" xfId="0" applyNumberFormat="1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3" fillId="0" borderId="6" xfId="0" applyFont="1" applyBorder="1"/>
    <xf numFmtId="0" fontId="0" fillId="0" borderId="6" xfId="0" applyBorder="1" applyAlignment="1">
      <alignment horizontal="right"/>
    </xf>
    <xf numFmtId="0" fontId="3" fillId="0" borderId="7" xfId="0" applyFont="1" applyBorder="1"/>
    <xf numFmtId="0" fontId="3" fillId="0" borderId="0" xfId="0" applyFont="1"/>
    <xf numFmtId="164" fontId="0" fillId="0" borderId="1" xfId="0" applyNumberFormat="1" applyBorder="1"/>
    <xf numFmtId="2" fontId="3" fillId="2" borderId="1" xfId="0" applyNumberFormat="1" applyFont="1" applyFill="1" applyBorder="1"/>
    <xf numFmtId="2" fontId="0" fillId="2" borderId="1" xfId="0" applyNumberFormat="1" applyFill="1" applyBorder="1" applyAlignment="1">
      <alignment horizontal="right"/>
    </xf>
    <xf numFmtId="2" fontId="3" fillId="0" borderId="1" xfId="0" applyNumberFormat="1" applyFont="1" applyBorder="1"/>
    <xf numFmtId="0" fontId="3" fillId="0" borderId="1" xfId="0" applyFont="1" applyBorder="1"/>
    <xf numFmtId="2" fontId="3" fillId="0" borderId="0" xfId="0" applyNumberFormat="1" applyFont="1"/>
    <xf numFmtId="0" fontId="0" fillId="0" borderId="1" xfId="0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9" xfId="0" applyBorder="1"/>
    <xf numFmtId="0" fontId="4" fillId="0" borderId="10" xfId="0" applyFont="1" applyBorder="1"/>
    <xf numFmtId="2" fontId="0" fillId="0" borderId="2" xfId="0" applyNumberFormat="1" applyBorder="1" applyAlignment="1">
      <alignment horizontal="right"/>
    </xf>
    <xf numFmtId="2" fontId="0" fillId="0" borderId="2" xfId="0" applyNumberFormat="1" applyBorder="1"/>
    <xf numFmtId="0" fontId="0" fillId="0" borderId="11" xfId="0" applyBorder="1"/>
    <xf numFmtId="2" fontId="0" fillId="0" borderId="11" xfId="0" applyNumberFormat="1" applyBorder="1" applyAlignment="1">
      <alignment horizontal="right"/>
    </xf>
    <xf numFmtId="2" fontId="0" fillId="0" borderId="11" xfId="0" applyNumberFormat="1" applyBorder="1"/>
    <xf numFmtId="0" fontId="3" fillId="0" borderId="0" xfId="0" applyFont="1" applyAlignment="1">
      <alignment horizontal="center" vertical="top"/>
    </xf>
    <xf numFmtId="0" fontId="3" fillId="0" borderId="12" xfId="0" applyFont="1" applyBorder="1"/>
    <xf numFmtId="0" fontId="3" fillId="0" borderId="13" xfId="0" applyFont="1" applyBorder="1"/>
    <xf numFmtId="0" fontId="0" fillId="0" borderId="14" xfId="0" applyBorder="1"/>
    <xf numFmtId="0" fontId="0" fillId="0" borderId="13" xfId="0" applyBorder="1"/>
    <xf numFmtId="0" fontId="3" fillId="0" borderId="15" xfId="0" applyFont="1" applyBorder="1"/>
    <xf numFmtId="0" fontId="3" fillId="0" borderId="16" xfId="0" applyFont="1" applyBorder="1"/>
    <xf numFmtId="0" fontId="0" fillId="0" borderId="0" xfId="0" applyAlignment="1">
      <alignment horizontal="right" vertical="center"/>
    </xf>
    <xf numFmtId="0" fontId="3" fillId="0" borderId="6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18" xfId="0" applyFont="1" applyBorder="1" applyAlignment="1">
      <alignment horizontal="left" vertical="top"/>
    </xf>
    <xf numFmtId="0" fontId="3" fillId="0" borderId="10" xfId="0" applyFont="1" applyBorder="1" applyAlignment="1">
      <alignment horizontal="right" vertical="top"/>
    </xf>
    <xf numFmtId="2" fontId="3" fillId="2" borderId="1" xfId="0" applyNumberFormat="1" applyFont="1" applyFill="1" applyBorder="1" applyAlignment="1">
      <alignment horizontal="right"/>
    </xf>
    <xf numFmtId="0" fontId="3" fillId="0" borderId="19" xfId="0" applyFont="1" applyBorder="1"/>
    <xf numFmtId="2" fontId="0" fillId="2" borderId="1" xfId="0" applyNumberFormat="1" applyFill="1" applyBorder="1"/>
    <xf numFmtId="166" fontId="0" fillId="0" borderId="0" xfId="0" applyNumberFormat="1"/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2" fillId="0" borderId="6" xfId="0" applyFont="1" applyBorder="1"/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0" fillId="0" borderId="12" xfId="0" applyBorder="1"/>
    <xf numFmtId="0" fontId="0" fillId="0" borderId="12" xfId="0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7" xfId="0" applyFont="1" applyBorder="1"/>
    <xf numFmtId="0" fontId="6" fillId="0" borderId="1" xfId="0" applyFont="1" applyBorder="1" applyAlignment="1">
      <alignment horizontal="right"/>
    </xf>
    <xf numFmtId="0" fontId="2" fillId="0" borderId="0" xfId="0" applyFont="1" applyAlignment="1">
      <alignment horizontal="left"/>
    </xf>
    <xf numFmtId="164" fontId="0" fillId="0" borderId="1" xfId="0" applyNumberFormat="1" applyBorder="1" applyAlignment="1">
      <alignment horizontal="center"/>
    </xf>
    <xf numFmtId="0" fontId="15" fillId="0" borderId="0" xfId="0" applyFont="1"/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/>
    <xf numFmtId="2" fontId="2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2" borderId="1" xfId="0" applyFill="1" applyBorder="1"/>
    <xf numFmtId="0" fontId="19" fillId="0" borderId="0" xfId="0" applyFont="1" applyAlignment="1">
      <alignment horizontal="right"/>
    </xf>
    <xf numFmtId="2" fontId="1" fillId="2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6" fontId="1" fillId="0" borderId="0" xfId="0" applyNumberFormat="1" applyFont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2" xfId="0" applyFont="1" applyBorder="1"/>
    <xf numFmtId="0" fontId="1" fillId="3" borderId="0" xfId="0" applyFont="1" applyFill="1" applyAlignment="1" applyProtection="1">
      <alignment horizontal="right"/>
      <protection locked="0"/>
    </xf>
    <xf numFmtId="0" fontId="0" fillId="0" borderId="26" xfId="0" applyBorder="1"/>
    <xf numFmtId="0" fontId="0" fillId="0" borderId="22" xfId="0" applyBorder="1"/>
    <xf numFmtId="0" fontId="1" fillId="0" borderId="26" xfId="0" applyFont="1" applyBorder="1"/>
    <xf numFmtId="2" fontId="1" fillId="3" borderId="0" xfId="0" applyNumberFormat="1" applyFont="1" applyFill="1" applyAlignment="1" applyProtection="1">
      <alignment horizontal="right"/>
      <protection locked="0"/>
    </xf>
    <xf numFmtId="165" fontId="0" fillId="3" borderId="0" xfId="0" applyNumberFormat="1" applyFill="1" applyAlignment="1" applyProtection="1">
      <alignment horizontal="right"/>
      <protection locked="0"/>
    </xf>
    <xf numFmtId="1" fontId="0" fillId="3" borderId="0" xfId="0" applyNumberFormat="1" applyFill="1" applyAlignment="1" applyProtection="1">
      <alignment horizontal="right"/>
      <protection locked="0"/>
    </xf>
    <xf numFmtId="0" fontId="0" fillId="3" borderId="0" xfId="0" applyFill="1" applyAlignment="1" applyProtection="1">
      <alignment horizontal="right"/>
      <protection locked="0"/>
    </xf>
    <xf numFmtId="0" fontId="0" fillId="3" borderId="0" xfId="0" applyFill="1" applyProtection="1">
      <protection locked="0"/>
    </xf>
    <xf numFmtId="0" fontId="0" fillId="2" borderId="0" xfId="0" applyFill="1"/>
    <xf numFmtId="2" fontId="0" fillId="2" borderId="0" xfId="0" applyNumberFormat="1" applyFill="1"/>
    <xf numFmtId="166" fontId="0" fillId="2" borderId="0" xfId="0" applyNumberFormat="1" applyFill="1"/>
    <xf numFmtId="0" fontId="16" fillId="0" borderId="0" xfId="1" applyFont="1"/>
    <xf numFmtId="2" fontId="21" fillId="5" borderId="32" xfId="0" applyNumberFormat="1" applyFont="1" applyFill="1" applyBorder="1" applyAlignment="1">
      <alignment horizontal="center"/>
    </xf>
    <xf numFmtId="0" fontId="16" fillId="0" borderId="22" xfId="0" applyFont="1" applyBorder="1" applyAlignment="1">
      <alignment horizontal="left"/>
    </xf>
    <xf numFmtId="166" fontId="0" fillId="2" borderId="0" xfId="0" applyNumberFormat="1" applyFill="1" applyAlignment="1">
      <alignment horizontal="right"/>
    </xf>
    <xf numFmtId="0" fontId="3" fillId="0" borderId="22" xfId="0" applyFont="1" applyBorder="1"/>
    <xf numFmtId="166" fontId="0" fillId="0" borderId="0" xfId="0" applyNumberFormat="1" applyAlignment="1">
      <alignment horizontal="right"/>
    </xf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right"/>
    </xf>
    <xf numFmtId="0" fontId="0" fillId="0" borderId="31" xfId="0" applyBorder="1" applyAlignment="1">
      <alignment horizontal="right"/>
    </xf>
    <xf numFmtId="0" fontId="0" fillId="0" borderId="41" xfId="0" applyBorder="1" applyAlignment="1">
      <alignment horizontal="right"/>
    </xf>
    <xf numFmtId="0" fontId="0" fillId="0" borderId="22" xfId="0" applyBorder="1" applyAlignment="1">
      <alignment horizontal="left"/>
    </xf>
    <xf numFmtId="0" fontId="3" fillId="0" borderId="22" xfId="0" applyFont="1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3" fillId="0" borderId="42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1" fontId="3" fillId="2" borderId="31" xfId="0" applyNumberFormat="1" applyFont="1" applyFill="1" applyBorder="1"/>
    <xf numFmtId="1" fontId="3" fillId="0" borderId="31" xfId="0" applyNumberFormat="1" applyFont="1" applyBorder="1"/>
    <xf numFmtId="0" fontId="3" fillId="2" borderId="31" xfId="0" applyFont="1" applyFill="1" applyBorder="1"/>
    <xf numFmtId="0" fontId="3" fillId="0" borderId="31" xfId="0" applyFont="1" applyBorder="1"/>
    <xf numFmtId="0" fontId="3" fillId="0" borderId="43" xfId="0" applyFont="1" applyBorder="1"/>
    <xf numFmtId="0" fontId="3" fillId="0" borderId="44" xfId="0" applyFont="1" applyBorder="1"/>
    <xf numFmtId="0" fontId="6" fillId="0" borderId="2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45" xfId="0" applyBorder="1"/>
    <xf numFmtId="0" fontId="0" fillId="0" borderId="9" xfId="0" applyBorder="1" applyAlignment="1">
      <alignment horizontal="right"/>
    </xf>
    <xf numFmtId="0" fontId="0" fillId="0" borderId="46" xfId="0" applyBorder="1"/>
    <xf numFmtId="0" fontId="0" fillId="4" borderId="0" xfId="0" applyFill="1" applyAlignment="1">
      <alignment horizontal="left"/>
    </xf>
    <xf numFmtId="0" fontId="0" fillId="4" borderId="26" xfId="0" applyFill="1" applyBorder="1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Fill="1"/>
    <xf numFmtId="166" fontId="0" fillId="4" borderId="0" xfId="0" applyNumberFormat="1" applyFill="1"/>
    <xf numFmtId="0" fontId="0" fillId="4" borderId="26" xfId="0" applyFill="1" applyBorder="1"/>
    <xf numFmtId="0" fontId="0" fillId="4" borderId="9" xfId="0" applyFill="1" applyBorder="1" applyAlignment="1">
      <alignment horizontal="center"/>
    </xf>
    <xf numFmtId="0" fontId="0" fillId="4" borderId="9" xfId="0" applyFill="1" applyBorder="1"/>
    <xf numFmtId="166" fontId="0" fillId="4" borderId="9" xfId="0" applyNumberFormat="1" applyFill="1" applyBorder="1"/>
    <xf numFmtId="0" fontId="0" fillId="0" borderId="38" xfId="0" applyBorder="1"/>
    <xf numFmtId="0" fontId="0" fillId="4" borderId="0" xfId="0" applyFill="1" applyAlignment="1">
      <alignment horizontal="left"/>
    </xf>
    <xf numFmtId="0" fontId="0" fillId="4" borderId="26" xfId="0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0" fillId="0" borderId="0" xfId="0" applyAlignment="1">
      <alignment horizontal="left" shrinkToFit="1"/>
    </xf>
    <xf numFmtId="0" fontId="22" fillId="4" borderId="39" xfId="0" applyFont="1" applyFill="1" applyBorder="1" applyAlignment="1">
      <alignment horizontal="center" vertical="center"/>
    </xf>
    <xf numFmtId="0" fontId="22" fillId="4" borderId="40" xfId="0" applyFont="1" applyFill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0" xfId="0" applyFont="1" applyFill="1" applyAlignment="1" applyProtection="1">
      <alignment horizontal="center"/>
      <protection locked="0"/>
    </xf>
    <xf numFmtId="0" fontId="1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20" xfId="0" applyBorder="1" applyAlignment="1">
      <alignment horizontal="right" vertical="center"/>
    </xf>
    <xf numFmtId="0" fontId="0" fillId="0" borderId="12" xfId="0" applyBorder="1" applyAlignment="1">
      <alignment horizontal="left" vertical="center"/>
    </xf>
    <xf numFmtId="0" fontId="2" fillId="0" borderId="29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7"/>
  <sheetViews>
    <sheetView view="pageBreakPreview" topLeftCell="A211" zoomScaleSheetLayoutView="100" workbookViewId="0">
      <selection activeCell="N146" sqref="N146"/>
    </sheetView>
  </sheetViews>
  <sheetFormatPr defaultRowHeight="12.75" x14ac:dyDescent="0.2"/>
  <cols>
    <col min="3" max="3" width="12.28515625" customWidth="1"/>
    <col min="6" max="6" width="13.28515625" style="1" customWidth="1"/>
    <col min="8" max="8" width="11" customWidth="1"/>
    <col min="9" max="9" width="7.85546875" customWidth="1"/>
    <col min="11" max="11" width="11.42578125" customWidth="1"/>
  </cols>
  <sheetData>
    <row r="1" spans="1:10" ht="25.9" customHeight="1" x14ac:dyDescent="0.2">
      <c r="A1" s="158" t="s">
        <v>263</v>
      </c>
      <c r="B1" s="159"/>
      <c r="C1" s="159"/>
      <c r="D1" s="159"/>
      <c r="E1" s="159"/>
      <c r="F1" s="159"/>
      <c r="G1" s="159"/>
      <c r="H1" s="159"/>
      <c r="I1" s="159"/>
      <c r="J1" s="160"/>
    </row>
    <row r="2" spans="1:10" x14ac:dyDescent="0.2">
      <c r="A2" s="103" t="s">
        <v>15</v>
      </c>
      <c r="B2" s="2"/>
      <c r="C2" s="161" t="s">
        <v>264</v>
      </c>
      <c r="D2" s="161"/>
      <c r="E2" s="161"/>
      <c r="F2" s="161"/>
      <c r="H2" t="s">
        <v>229</v>
      </c>
      <c r="I2" s="104" t="s">
        <v>247</v>
      </c>
      <c r="J2" s="105"/>
    </row>
    <row r="3" spans="1:10" x14ac:dyDescent="0.2">
      <c r="A3" s="103" t="s">
        <v>16</v>
      </c>
      <c r="B3" s="2"/>
      <c r="C3" s="162"/>
      <c r="D3" s="162"/>
      <c r="E3" s="162"/>
      <c r="F3" s="162"/>
      <c r="H3" s="76" t="s">
        <v>230</v>
      </c>
      <c r="I3" s="104" t="s">
        <v>265</v>
      </c>
      <c r="J3" s="105"/>
    </row>
    <row r="4" spans="1:10" x14ac:dyDescent="0.2">
      <c r="A4" s="106"/>
      <c r="H4" s="76" t="s">
        <v>231</v>
      </c>
      <c r="I4" s="104">
        <v>0.15</v>
      </c>
      <c r="J4" s="107" t="s">
        <v>232</v>
      </c>
    </row>
    <row r="5" spans="1:10" x14ac:dyDescent="0.2">
      <c r="A5" s="103" t="s">
        <v>12</v>
      </c>
      <c r="B5" s="2"/>
      <c r="C5" s="2"/>
      <c r="D5" s="2"/>
      <c r="E5" t="s">
        <v>5</v>
      </c>
      <c r="F5" s="104">
        <v>72</v>
      </c>
      <c r="H5" s="76" t="s">
        <v>233</v>
      </c>
      <c r="I5" s="104">
        <v>0.56999999999999995</v>
      </c>
      <c r="J5" s="107" t="s">
        <v>232</v>
      </c>
    </row>
    <row r="6" spans="1:10" x14ac:dyDescent="0.2">
      <c r="A6" s="103" t="s">
        <v>14</v>
      </c>
      <c r="B6" s="2"/>
      <c r="C6" s="2"/>
      <c r="D6" s="2"/>
      <c r="E6" t="s">
        <v>4</v>
      </c>
      <c r="F6" s="104">
        <v>22.015000000000001</v>
      </c>
      <c r="H6" s="76" t="s">
        <v>234</v>
      </c>
      <c r="I6" s="108">
        <v>0</v>
      </c>
      <c r="J6" s="107" t="s">
        <v>232</v>
      </c>
    </row>
    <row r="7" spans="1:10" x14ac:dyDescent="0.2">
      <c r="A7" s="103" t="s">
        <v>9</v>
      </c>
      <c r="B7" s="2"/>
      <c r="C7" s="2"/>
      <c r="D7" s="2"/>
      <c r="E7" t="s">
        <v>4</v>
      </c>
      <c r="F7" s="104">
        <v>0</v>
      </c>
      <c r="H7" s="76" t="s">
        <v>249</v>
      </c>
      <c r="I7" s="108">
        <v>6</v>
      </c>
      <c r="J7" s="107" t="s">
        <v>257</v>
      </c>
    </row>
    <row r="8" spans="1:10" x14ac:dyDescent="0.2">
      <c r="A8" s="103" t="s">
        <v>10</v>
      </c>
      <c r="B8" s="2"/>
      <c r="C8" s="2"/>
      <c r="D8" s="2"/>
      <c r="E8" t="s">
        <v>4</v>
      </c>
      <c r="F8" s="104">
        <v>28.5</v>
      </c>
      <c r="H8" s="76" t="s">
        <v>235</v>
      </c>
      <c r="I8" s="104" t="s">
        <v>266</v>
      </c>
      <c r="J8" s="105"/>
    </row>
    <row r="9" spans="1:10" hidden="1" x14ac:dyDescent="0.2">
      <c r="A9" s="103" t="s">
        <v>11</v>
      </c>
      <c r="B9" s="2"/>
      <c r="C9" s="2"/>
      <c r="D9" s="2"/>
      <c r="E9" t="s">
        <v>4</v>
      </c>
      <c r="F9" s="104">
        <v>4.5</v>
      </c>
      <c r="J9" s="105"/>
    </row>
    <row r="10" spans="1:10" x14ac:dyDescent="0.2">
      <c r="A10" s="103" t="s">
        <v>63</v>
      </c>
      <c r="B10" s="2"/>
      <c r="C10" s="2"/>
      <c r="D10" s="2"/>
      <c r="E10" t="s">
        <v>4</v>
      </c>
      <c r="F10" s="1">
        <f>F7+F8</f>
        <v>28.5</v>
      </c>
      <c r="H10" t="s">
        <v>248</v>
      </c>
      <c r="I10" s="104">
        <v>7.2</v>
      </c>
      <c r="J10" s="107" t="s">
        <v>257</v>
      </c>
    </row>
    <row r="11" spans="1:10" x14ac:dyDescent="0.2">
      <c r="A11" s="103"/>
      <c r="B11" s="2"/>
      <c r="C11" s="2"/>
      <c r="D11" s="2"/>
      <c r="J11" s="105"/>
    </row>
    <row r="12" spans="1:10" x14ac:dyDescent="0.2">
      <c r="A12" s="103" t="s">
        <v>165</v>
      </c>
      <c r="E12" s="109">
        <v>1</v>
      </c>
      <c r="F12" s="110">
        <v>10</v>
      </c>
      <c r="J12" s="105"/>
    </row>
    <row r="13" spans="1:10" x14ac:dyDescent="0.2">
      <c r="A13" s="103" t="s">
        <v>39</v>
      </c>
      <c r="B13" s="2"/>
      <c r="C13" s="2"/>
      <c r="D13" s="2"/>
      <c r="E13" t="s">
        <v>1</v>
      </c>
      <c r="F13" s="111">
        <v>39</v>
      </c>
      <c r="J13" s="105"/>
    </row>
    <row r="14" spans="1:10" x14ac:dyDescent="0.2">
      <c r="A14" s="103" t="s">
        <v>40</v>
      </c>
      <c r="B14" s="2"/>
      <c r="C14" s="2"/>
      <c r="D14" s="2"/>
      <c r="E14" t="s">
        <v>2</v>
      </c>
      <c r="F14" s="111">
        <v>50</v>
      </c>
      <c r="J14" s="105"/>
    </row>
    <row r="15" spans="1:10" x14ac:dyDescent="0.2">
      <c r="A15" s="103" t="s">
        <v>41</v>
      </c>
      <c r="B15" s="2"/>
      <c r="C15" s="2"/>
      <c r="D15" s="2"/>
      <c r="F15" s="112">
        <v>2</v>
      </c>
      <c r="J15" s="105"/>
    </row>
    <row r="16" spans="1:10" x14ac:dyDescent="0.2">
      <c r="A16" s="106" t="s">
        <v>50</v>
      </c>
      <c r="F16"/>
      <c r="J16" s="105"/>
    </row>
    <row r="17" spans="1:10" x14ac:dyDescent="0.2">
      <c r="A17" s="106" t="s">
        <v>51</v>
      </c>
      <c r="F17"/>
      <c r="J17" s="105"/>
    </row>
    <row r="18" spans="1:10" x14ac:dyDescent="0.2">
      <c r="A18" s="106" t="s">
        <v>52</v>
      </c>
      <c r="F18"/>
      <c r="J18" s="105"/>
    </row>
    <row r="19" spans="1:10" x14ac:dyDescent="0.2">
      <c r="A19" s="106" t="s">
        <v>53</v>
      </c>
      <c r="F19"/>
      <c r="J19" s="105"/>
    </row>
    <row r="20" spans="1:10" x14ac:dyDescent="0.2">
      <c r="A20" s="106"/>
      <c r="F20"/>
      <c r="J20" s="105"/>
    </row>
    <row r="21" spans="1:10" x14ac:dyDescent="0.2">
      <c r="A21" s="103" t="s">
        <v>42</v>
      </c>
      <c r="B21" s="2"/>
      <c r="C21" s="2"/>
      <c r="D21" s="2"/>
      <c r="F21" s="104" t="s">
        <v>0</v>
      </c>
      <c r="J21" s="105"/>
    </row>
    <row r="22" spans="1:10" x14ac:dyDescent="0.2">
      <c r="A22" s="106" t="s">
        <v>65</v>
      </c>
      <c r="F22"/>
      <c r="J22" s="105"/>
    </row>
    <row r="23" spans="1:10" x14ac:dyDescent="0.2">
      <c r="A23" s="106" t="s">
        <v>67</v>
      </c>
      <c r="F23"/>
      <c r="J23" s="105"/>
    </row>
    <row r="24" spans="1:10" x14ac:dyDescent="0.2">
      <c r="A24" s="106" t="s">
        <v>66</v>
      </c>
      <c r="F24"/>
      <c r="J24" s="105"/>
    </row>
    <row r="25" spans="1:10" x14ac:dyDescent="0.2">
      <c r="A25" s="106"/>
      <c r="F25"/>
      <c r="J25" s="105"/>
    </row>
    <row r="26" spans="1:10" hidden="1" x14ac:dyDescent="0.2">
      <c r="A26" s="106" t="s">
        <v>54</v>
      </c>
      <c r="J26" s="105"/>
    </row>
    <row r="27" spans="1:10" hidden="1" x14ac:dyDescent="0.2">
      <c r="A27" s="103" t="s">
        <v>6</v>
      </c>
      <c r="B27" s="2"/>
      <c r="C27" s="2"/>
      <c r="D27" s="2"/>
      <c r="F27"/>
      <c r="J27" s="105"/>
    </row>
    <row r="28" spans="1:10" hidden="1" x14ac:dyDescent="0.2">
      <c r="A28" s="106"/>
      <c r="E28" s="3" t="s">
        <v>28</v>
      </c>
      <c r="F28" s="3" t="s">
        <v>17</v>
      </c>
      <c r="G28" s="3" t="s">
        <v>18</v>
      </c>
      <c r="J28" s="105"/>
    </row>
    <row r="29" spans="1:10" hidden="1" x14ac:dyDescent="0.2">
      <c r="A29" s="106"/>
      <c r="E29" s="4">
        <v>33</v>
      </c>
      <c r="F29" s="7">
        <v>83.2</v>
      </c>
      <c r="G29" s="7">
        <v>9.1999999999999993</v>
      </c>
      <c r="J29" s="105"/>
    </row>
    <row r="30" spans="1:10" hidden="1" x14ac:dyDescent="0.2">
      <c r="A30" s="106"/>
      <c r="E30" s="4">
        <v>39</v>
      </c>
      <c r="F30" s="7">
        <v>84</v>
      </c>
      <c r="G30" s="7">
        <v>14</v>
      </c>
      <c r="J30" s="105"/>
    </row>
    <row r="31" spans="1:10" hidden="1" x14ac:dyDescent="0.2">
      <c r="A31" s="106"/>
      <c r="E31" s="4">
        <v>44</v>
      </c>
      <c r="F31" s="7">
        <v>88</v>
      </c>
      <c r="G31" s="7">
        <v>18</v>
      </c>
      <c r="J31" s="105"/>
    </row>
    <row r="32" spans="1:10" hidden="1" x14ac:dyDescent="0.2">
      <c r="A32" s="106"/>
      <c r="E32" s="4">
        <v>47</v>
      </c>
      <c r="F32" s="7">
        <v>88</v>
      </c>
      <c r="G32" s="7">
        <v>20.5</v>
      </c>
      <c r="J32" s="105"/>
    </row>
    <row r="33" spans="1:20" hidden="1" x14ac:dyDescent="0.2">
      <c r="A33" s="106"/>
      <c r="E33" s="4">
        <v>50</v>
      </c>
      <c r="F33" s="7">
        <v>88.8</v>
      </c>
      <c r="G33" s="7">
        <v>22.8</v>
      </c>
      <c r="J33" s="105"/>
    </row>
    <row r="34" spans="1:20" hidden="1" x14ac:dyDescent="0.2">
      <c r="A34" s="106"/>
      <c r="E34" s="4">
        <v>55</v>
      </c>
      <c r="F34" s="7">
        <v>90.8</v>
      </c>
      <c r="G34" s="7">
        <v>27.3</v>
      </c>
      <c r="J34" s="105"/>
    </row>
    <row r="35" spans="1:20" hidden="1" x14ac:dyDescent="0.2">
      <c r="A35" s="106" t="s">
        <v>27</v>
      </c>
      <c r="F35">
        <v>0.63</v>
      </c>
      <c r="J35" s="105"/>
    </row>
    <row r="36" spans="1:20" hidden="1" x14ac:dyDescent="0.2">
      <c r="A36" s="106" t="s">
        <v>29</v>
      </c>
      <c r="F36">
        <f>VLOOKUP(F13,E29:G34,2)</f>
        <v>84</v>
      </c>
      <c r="J36" s="105"/>
    </row>
    <row r="37" spans="1:20" hidden="1" x14ac:dyDescent="0.2">
      <c r="A37" s="106" t="s">
        <v>30</v>
      </c>
      <c r="F37">
        <f>VLOOKUP(F13,E29:G34,3)</f>
        <v>14</v>
      </c>
      <c r="J37" s="105"/>
    </row>
    <row r="38" spans="1:20" hidden="1" x14ac:dyDescent="0.2">
      <c r="A38" s="106"/>
      <c r="F38"/>
      <c r="J38" s="105"/>
    </row>
    <row r="39" spans="1:20" x14ac:dyDescent="0.2">
      <c r="A39" s="103" t="s">
        <v>6</v>
      </c>
      <c r="B39" s="2"/>
      <c r="C39" s="2"/>
      <c r="D39" s="2"/>
      <c r="F39" s="113">
        <v>1</v>
      </c>
      <c r="H39" s="21"/>
      <c r="J39" s="105"/>
    </row>
    <row r="40" spans="1:20" x14ac:dyDescent="0.2">
      <c r="A40" s="103" t="s">
        <v>45</v>
      </c>
      <c r="B40" s="2"/>
      <c r="C40" s="2"/>
      <c r="D40" s="2"/>
      <c r="E40" t="s">
        <v>4</v>
      </c>
      <c r="F40" s="1">
        <f>F10</f>
        <v>28.5</v>
      </c>
      <c r="J40" s="105"/>
    </row>
    <row r="41" spans="1:20" x14ac:dyDescent="0.2">
      <c r="A41" s="103"/>
      <c r="B41" s="2"/>
      <c r="C41" s="2"/>
      <c r="D41" s="2"/>
      <c r="J41" s="105"/>
    </row>
    <row r="42" spans="1:20" x14ac:dyDescent="0.2">
      <c r="A42" s="106" t="s">
        <v>46</v>
      </c>
      <c r="F42"/>
      <c r="J42" s="105"/>
    </row>
    <row r="43" spans="1:20" x14ac:dyDescent="0.2">
      <c r="A43" s="103" t="s">
        <v>43</v>
      </c>
      <c r="B43" s="2"/>
      <c r="C43" s="2"/>
      <c r="D43" s="2"/>
      <c r="E43" t="s">
        <v>31</v>
      </c>
      <c r="F43">
        <v>2</v>
      </c>
      <c r="J43" s="105"/>
      <c r="N43" t="s">
        <v>244</v>
      </c>
      <c r="P43">
        <v>10</v>
      </c>
      <c r="Q43">
        <v>1</v>
      </c>
      <c r="S43">
        <v>10</v>
      </c>
      <c r="T43">
        <v>1</v>
      </c>
    </row>
    <row r="44" spans="1:20" hidden="1" x14ac:dyDescent="0.2">
      <c r="A44" s="106"/>
      <c r="E44" s="61" t="s">
        <v>32</v>
      </c>
      <c r="F44" s="61" t="s">
        <v>17</v>
      </c>
      <c r="G44" s="61"/>
      <c r="H44" s="61"/>
      <c r="J44" s="105"/>
    </row>
    <row r="45" spans="1:20" hidden="1" x14ac:dyDescent="0.2">
      <c r="A45" s="106"/>
      <c r="E45">
        <v>0</v>
      </c>
      <c r="F45" s="14">
        <v>1.05</v>
      </c>
      <c r="G45" s="14"/>
      <c r="H45" s="14"/>
      <c r="J45" s="105"/>
    </row>
    <row r="46" spans="1:20" hidden="1" x14ac:dyDescent="0.2">
      <c r="A46" s="106"/>
      <c r="E46">
        <v>5</v>
      </c>
      <c r="F46" s="14">
        <v>1.05</v>
      </c>
      <c r="G46" s="14"/>
      <c r="H46" s="14"/>
      <c r="J46" s="105"/>
    </row>
    <row r="47" spans="1:20" hidden="1" x14ac:dyDescent="0.2">
      <c r="A47" s="106"/>
      <c r="E47">
        <v>10</v>
      </c>
      <c r="F47" s="114">
        <v>1.05</v>
      </c>
      <c r="G47" s="114"/>
      <c r="H47" s="114"/>
      <c r="J47" s="105"/>
    </row>
    <row r="48" spans="1:20" hidden="1" x14ac:dyDescent="0.2">
      <c r="A48" s="106"/>
      <c r="E48">
        <v>15</v>
      </c>
      <c r="F48" s="114">
        <v>1.0900000000000001</v>
      </c>
      <c r="G48" s="114"/>
      <c r="H48" s="114"/>
      <c r="J48" s="105"/>
    </row>
    <row r="49" spans="1:10" hidden="1" x14ac:dyDescent="0.2">
      <c r="A49" s="106"/>
      <c r="E49">
        <v>20</v>
      </c>
      <c r="F49" s="114">
        <v>1.1200000000000001</v>
      </c>
      <c r="G49" s="114"/>
      <c r="H49" s="114"/>
      <c r="J49" s="105"/>
    </row>
    <row r="50" spans="1:10" hidden="1" x14ac:dyDescent="0.2">
      <c r="A50" s="106"/>
      <c r="E50">
        <v>25</v>
      </c>
      <c r="F50" s="14">
        <f>F$49+(F$51-F$49)*($E50-$E$49)/($E$51-$E$49)</f>
        <v>1.135</v>
      </c>
      <c r="G50" s="14"/>
      <c r="H50" s="14"/>
      <c r="J50" s="105"/>
    </row>
    <row r="51" spans="1:10" hidden="1" x14ac:dyDescent="0.2">
      <c r="A51" s="106"/>
      <c r="E51">
        <v>30</v>
      </c>
      <c r="F51" s="114">
        <v>1.1499999999999999</v>
      </c>
      <c r="G51" s="114"/>
      <c r="H51" s="114"/>
      <c r="J51" s="105"/>
    </row>
    <row r="52" spans="1:10" hidden="1" x14ac:dyDescent="0.2">
      <c r="A52" s="106"/>
      <c r="E52">
        <v>35</v>
      </c>
      <c r="F52" s="14">
        <f t="shared" ref="F52:F54" si="0">F$51+(F$55-F$51)*($E52-$E$51)/($E$55-$E$51)</f>
        <v>1.1624999999999999</v>
      </c>
      <c r="G52" s="14"/>
      <c r="H52" s="14"/>
      <c r="J52" s="105"/>
    </row>
    <row r="53" spans="1:10" hidden="1" x14ac:dyDescent="0.2">
      <c r="A53" s="106"/>
      <c r="E53">
        <v>40</v>
      </c>
      <c r="F53" s="14">
        <f t="shared" si="0"/>
        <v>1.1749999999999998</v>
      </c>
      <c r="G53" s="14"/>
      <c r="H53" s="14"/>
      <c r="J53" s="105"/>
    </row>
    <row r="54" spans="1:10" hidden="1" x14ac:dyDescent="0.2">
      <c r="A54" s="106"/>
      <c r="E54">
        <v>45</v>
      </c>
      <c r="F54" s="14">
        <f t="shared" si="0"/>
        <v>1.1875</v>
      </c>
      <c r="G54" s="14"/>
      <c r="H54" s="14"/>
      <c r="J54" s="105"/>
    </row>
    <row r="55" spans="1:10" hidden="1" x14ac:dyDescent="0.2">
      <c r="A55" s="106"/>
      <c r="E55">
        <v>50</v>
      </c>
      <c r="F55" s="114">
        <v>1.2</v>
      </c>
      <c r="G55" s="114"/>
      <c r="H55" s="114"/>
      <c r="J55" s="105"/>
    </row>
    <row r="56" spans="1:10" hidden="1" x14ac:dyDescent="0.2">
      <c r="A56" s="106"/>
      <c r="E56">
        <v>55</v>
      </c>
      <c r="F56" s="14">
        <f t="shared" ref="F56:F64" si="1">F$55+(F$65-F$55)*($E56-$E$55)/($E$65-$E$55)</f>
        <v>1.206</v>
      </c>
      <c r="G56" s="14"/>
      <c r="H56" s="14"/>
      <c r="J56" s="105"/>
    </row>
    <row r="57" spans="1:10" hidden="1" x14ac:dyDescent="0.2">
      <c r="A57" s="106"/>
      <c r="E57">
        <v>60</v>
      </c>
      <c r="F57" s="14">
        <f t="shared" si="1"/>
        <v>1.212</v>
      </c>
      <c r="G57" s="14"/>
      <c r="H57" s="14"/>
      <c r="J57" s="105"/>
    </row>
    <row r="58" spans="1:10" hidden="1" x14ac:dyDescent="0.2">
      <c r="A58" s="106"/>
      <c r="E58">
        <v>65</v>
      </c>
      <c r="F58" s="14">
        <f t="shared" si="1"/>
        <v>1.218</v>
      </c>
      <c r="G58" s="14"/>
      <c r="H58" s="14"/>
      <c r="J58" s="105"/>
    </row>
    <row r="59" spans="1:10" hidden="1" x14ac:dyDescent="0.2">
      <c r="A59" s="106"/>
      <c r="E59">
        <v>70</v>
      </c>
      <c r="F59" s="14">
        <f t="shared" si="1"/>
        <v>1.224</v>
      </c>
      <c r="G59" s="14"/>
      <c r="H59" s="14"/>
      <c r="J59" s="105"/>
    </row>
    <row r="60" spans="1:10" hidden="1" x14ac:dyDescent="0.2">
      <c r="A60" s="106"/>
      <c r="E60">
        <v>75</v>
      </c>
      <c r="F60" s="14">
        <f t="shared" si="1"/>
        <v>1.23</v>
      </c>
      <c r="G60" s="14"/>
      <c r="H60" s="14"/>
      <c r="J60" s="105"/>
    </row>
    <row r="61" spans="1:10" hidden="1" x14ac:dyDescent="0.2">
      <c r="A61" s="106"/>
      <c r="E61">
        <v>80</v>
      </c>
      <c r="F61" s="14">
        <f t="shared" si="1"/>
        <v>1.236</v>
      </c>
      <c r="G61" s="14"/>
      <c r="H61" s="14"/>
      <c r="J61" s="105"/>
    </row>
    <row r="62" spans="1:10" hidden="1" x14ac:dyDescent="0.2">
      <c r="A62" s="106"/>
      <c r="E62">
        <v>85</v>
      </c>
      <c r="F62" s="14">
        <f t="shared" si="1"/>
        <v>1.242</v>
      </c>
      <c r="G62" s="14"/>
      <c r="H62" s="14"/>
      <c r="J62" s="105"/>
    </row>
    <row r="63" spans="1:10" hidden="1" x14ac:dyDescent="0.2">
      <c r="A63" s="106"/>
      <c r="E63">
        <v>90</v>
      </c>
      <c r="F63" s="14">
        <f t="shared" si="1"/>
        <v>1.248</v>
      </c>
      <c r="G63" s="14"/>
      <c r="H63" s="14"/>
      <c r="J63" s="105"/>
    </row>
    <row r="64" spans="1:10" hidden="1" x14ac:dyDescent="0.2">
      <c r="A64" s="106"/>
      <c r="E64">
        <v>95</v>
      </c>
      <c r="F64" s="14">
        <f t="shared" si="1"/>
        <v>1.254</v>
      </c>
      <c r="G64" s="14"/>
      <c r="H64" s="14"/>
      <c r="J64" s="105"/>
    </row>
    <row r="65" spans="1:10" hidden="1" x14ac:dyDescent="0.2">
      <c r="A65" s="106"/>
      <c r="E65">
        <v>100</v>
      </c>
      <c r="F65" s="114">
        <v>1.26</v>
      </c>
      <c r="G65" s="114"/>
      <c r="H65" s="114"/>
      <c r="J65" s="105"/>
    </row>
    <row r="66" spans="1:10" hidden="1" x14ac:dyDescent="0.2">
      <c r="A66" s="106"/>
      <c r="F66"/>
      <c r="J66" s="105"/>
    </row>
    <row r="67" spans="1:10" hidden="1" x14ac:dyDescent="0.2">
      <c r="A67" s="106"/>
      <c r="E67" t="s">
        <v>31</v>
      </c>
      <c r="F67">
        <v>2</v>
      </c>
      <c r="J67" s="105"/>
    </row>
    <row r="68" spans="1:10" hidden="1" x14ac:dyDescent="0.2">
      <c r="A68" s="106"/>
      <c r="E68" s="61" t="s">
        <v>32</v>
      </c>
      <c r="F68" s="61" t="s">
        <v>17</v>
      </c>
      <c r="G68" s="61"/>
      <c r="H68" s="61"/>
      <c r="J68" s="105"/>
    </row>
    <row r="69" spans="1:10" hidden="1" x14ac:dyDescent="0.2">
      <c r="A69" s="106"/>
      <c r="E69">
        <v>0</v>
      </c>
      <c r="F69" s="14">
        <v>1</v>
      </c>
      <c r="G69" s="14"/>
      <c r="H69" s="14"/>
      <c r="J69" s="105"/>
    </row>
    <row r="70" spans="1:10" hidden="1" x14ac:dyDescent="0.2">
      <c r="A70" s="106"/>
      <c r="E70">
        <v>5</v>
      </c>
      <c r="F70" s="14">
        <v>1</v>
      </c>
      <c r="G70" s="14"/>
      <c r="H70" s="14"/>
      <c r="J70" s="105"/>
    </row>
    <row r="71" spans="1:10" hidden="1" x14ac:dyDescent="0.2">
      <c r="A71" s="106"/>
      <c r="E71">
        <v>10</v>
      </c>
      <c r="F71" s="114">
        <v>1</v>
      </c>
      <c r="G71" s="114"/>
      <c r="H71" s="114"/>
      <c r="J71" s="105"/>
    </row>
    <row r="72" spans="1:10" hidden="1" x14ac:dyDescent="0.2">
      <c r="A72" s="106"/>
      <c r="E72">
        <v>15</v>
      </c>
      <c r="F72" s="114">
        <v>1.05</v>
      </c>
      <c r="G72" s="114"/>
      <c r="H72" s="114"/>
      <c r="J72" s="105"/>
    </row>
    <row r="73" spans="1:10" hidden="1" x14ac:dyDescent="0.2">
      <c r="A73" s="106"/>
      <c r="E73">
        <v>20</v>
      </c>
      <c r="F73" s="114">
        <v>1.07</v>
      </c>
      <c r="G73" s="114"/>
      <c r="H73" s="114"/>
      <c r="J73" s="105"/>
    </row>
    <row r="74" spans="1:10" hidden="1" x14ac:dyDescent="0.2">
      <c r="A74" s="106"/>
      <c r="E74">
        <v>25</v>
      </c>
      <c r="F74" s="14">
        <f>F$73+(F$75-F$73)*($E74-$E$73)/($E$75-$E$73)</f>
        <v>1.0950000000000002</v>
      </c>
      <c r="G74" s="14"/>
      <c r="H74" s="14"/>
      <c r="J74" s="105"/>
    </row>
    <row r="75" spans="1:10" hidden="1" x14ac:dyDescent="0.2">
      <c r="A75" s="106"/>
      <c r="E75">
        <v>30</v>
      </c>
      <c r="F75" s="114">
        <v>1.1200000000000001</v>
      </c>
      <c r="G75" s="114"/>
      <c r="H75" s="114"/>
      <c r="J75" s="105"/>
    </row>
    <row r="76" spans="1:10" hidden="1" x14ac:dyDescent="0.2">
      <c r="A76" s="106"/>
      <c r="E76">
        <v>35</v>
      </c>
      <c r="F76" s="14">
        <f t="shared" ref="F76:F78" si="2">F$75+(F$79-F$75)*($E76-$E$75)/($E$79-$E$75)</f>
        <v>1.1325000000000001</v>
      </c>
      <c r="G76" s="14"/>
      <c r="H76" s="14"/>
      <c r="J76" s="105"/>
    </row>
    <row r="77" spans="1:10" hidden="1" x14ac:dyDescent="0.2">
      <c r="A77" s="106"/>
      <c r="E77">
        <v>40</v>
      </c>
      <c r="F77" s="14">
        <f t="shared" si="2"/>
        <v>1.145</v>
      </c>
      <c r="G77" s="14"/>
      <c r="H77" s="14"/>
      <c r="J77" s="105"/>
    </row>
    <row r="78" spans="1:10" hidden="1" x14ac:dyDescent="0.2">
      <c r="A78" s="106"/>
      <c r="E78">
        <v>45</v>
      </c>
      <c r="F78" s="14">
        <f t="shared" si="2"/>
        <v>1.1575</v>
      </c>
      <c r="G78" s="14"/>
      <c r="H78" s="14"/>
      <c r="J78" s="105"/>
    </row>
    <row r="79" spans="1:10" hidden="1" x14ac:dyDescent="0.2">
      <c r="A79" s="106"/>
      <c r="E79">
        <v>50</v>
      </c>
      <c r="F79" s="114">
        <v>1.17</v>
      </c>
      <c r="G79" s="114"/>
      <c r="H79" s="114"/>
      <c r="J79" s="105"/>
    </row>
    <row r="80" spans="1:10" hidden="1" x14ac:dyDescent="0.2">
      <c r="A80" s="106"/>
      <c r="E80">
        <v>55</v>
      </c>
      <c r="F80" s="14">
        <f t="shared" ref="F80:F88" si="3">F$79+(F$89-F$79)*($E80-$E$79)/($E$89-$E$79)</f>
        <v>1.177</v>
      </c>
      <c r="G80" s="14"/>
      <c r="H80" s="14"/>
      <c r="J80" s="105"/>
    </row>
    <row r="81" spans="1:10" hidden="1" x14ac:dyDescent="0.2">
      <c r="A81" s="106"/>
      <c r="E81">
        <v>60</v>
      </c>
      <c r="F81" s="14">
        <f t="shared" si="3"/>
        <v>1.1839999999999999</v>
      </c>
      <c r="G81" s="14"/>
      <c r="H81" s="14"/>
      <c r="J81" s="105"/>
    </row>
    <row r="82" spans="1:10" hidden="1" x14ac:dyDescent="0.2">
      <c r="A82" s="106"/>
      <c r="E82">
        <v>65</v>
      </c>
      <c r="F82" s="14">
        <f t="shared" si="3"/>
        <v>1.1909999999999998</v>
      </c>
      <c r="G82" s="14"/>
      <c r="H82" s="14"/>
      <c r="J82" s="105"/>
    </row>
    <row r="83" spans="1:10" hidden="1" x14ac:dyDescent="0.2">
      <c r="A83" s="106"/>
      <c r="E83">
        <v>70</v>
      </c>
      <c r="F83" s="14">
        <f t="shared" si="3"/>
        <v>1.198</v>
      </c>
      <c r="G83" s="14"/>
      <c r="H83" s="14"/>
      <c r="J83" s="105"/>
    </row>
    <row r="84" spans="1:10" hidden="1" x14ac:dyDescent="0.2">
      <c r="A84" s="106"/>
      <c r="E84">
        <v>75</v>
      </c>
      <c r="F84" s="14">
        <f t="shared" si="3"/>
        <v>1.2050000000000001</v>
      </c>
      <c r="G84" s="14"/>
      <c r="H84" s="14"/>
      <c r="J84" s="105"/>
    </row>
    <row r="85" spans="1:10" hidden="1" x14ac:dyDescent="0.2">
      <c r="A85" s="106"/>
      <c r="E85">
        <v>80</v>
      </c>
      <c r="F85" s="14">
        <f t="shared" si="3"/>
        <v>1.212</v>
      </c>
      <c r="G85" s="14"/>
      <c r="H85" s="14"/>
      <c r="J85" s="105"/>
    </row>
    <row r="86" spans="1:10" hidden="1" x14ac:dyDescent="0.2">
      <c r="A86" s="106"/>
      <c r="E86">
        <v>85</v>
      </c>
      <c r="F86" s="14">
        <f t="shared" si="3"/>
        <v>1.2189999999999999</v>
      </c>
      <c r="G86" s="14"/>
      <c r="H86" s="14"/>
      <c r="J86" s="105"/>
    </row>
    <row r="87" spans="1:10" hidden="1" x14ac:dyDescent="0.2">
      <c r="A87" s="106"/>
      <c r="E87">
        <v>90</v>
      </c>
      <c r="F87" s="14">
        <f t="shared" si="3"/>
        <v>1.226</v>
      </c>
      <c r="G87" s="14"/>
      <c r="H87" s="14"/>
      <c r="J87" s="105"/>
    </row>
    <row r="88" spans="1:10" hidden="1" x14ac:dyDescent="0.2">
      <c r="A88" s="106"/>
      <c r="E88">
        <v>95</v>
      </c>
      <c r="F88" s="14">
        <f t="shared" si="3"/>
        <v>1.2330000000000001</v>
      </c>
      <c r="G88" s="14"/>
      <c r="H88" s="14"/>
      <c r="J88" s="105"/>
    </row>
    <row r="89" spans="1:10" hidden="1" x14ac:dyDescent="0.2">
      <c r="A89" s="106"/>
      <c r="E89">
        <v>100</v>
      </c>
      <c r="F89" s="114">
        <v>1.24</v>
      </c>
      <c r="G89" s="114"/>
      <c r="H89" s="114"/>
      <c r="J89" s="105"/>
    </row>
    <row r="90" spans="1:10" hidden="1" x14ac:dyDescent="0.2">
      <c r="A90" s="106"/>
      <c r="F90"/>
      <c r="J90" s="105"/>
    </row>
    <row r="91" spans="1:10" hidden="1" x14ac:dyDescent="0.2">
      <c r="A91" s="106"/>
      <c r="E91" t="s">
        <v>31</v>
      </c>
      <c r="F91">
        <v>3</v>
      </c>
      <c r="J91" s="105"/>
    </row>
    <row r="92" spans="1:10" hidden="1" x14ac:dyDescent="0.2">
      <c r="A92" s="106"/>
      <c r="E92" s="61" t="s">
        <v>32</v>
      </c>
      <c r="F92" s="61" t="s">
        <v>17</v>
      </c>
      <c r="G92" s="61"/>
      <c r="H92" s="61"/>
      <c r="J92" s="105"/>
    </row>
    <row r="93" spans="1:10" hidden="1" x14ac:dyDescent="0.2">
      <c r="A93" s="106"/>
      <c r="E93">
        <v>0</v>
      </c>
      <c r="F93" s="14">
        <v>0.91</v>
      </c>
      <c r="G93" s="14"/>
      <c r="H93" s="14"/>
      <c r="J93" s="105"/>
    </row>
    <row r="94" spans="1:10" hidden="1" x14ac:dyDescent="0.2">
      <c r="A94" s="106"/>
      <c r="E94">
        <v>5</v>
      </c>
      <c r="F94" s="14">
        <v>0.91</v>
      </c>
      <c r="G94" s="14"/>
      <c r="H94" s="14"/>
      <c r="J94" s="105"/>
    </row>
    <row r="95" spans="1:10" hidden="1" x14ac:dyDescent="0.2">
      <c r="A95" s="106"/>
      <c r="E95">
        <v>10</v>
      </c>
      <c r="F95" s="114">
        <v>0.91</v>
      </c>
      <c r="G95" s="114"/>
      <c r="H95" s="114"/>
      <c r="J95" s="105"/>
    </row>
    <row r="96" spans="1:10" hidden="1" x14ac:dyDescent="0.2">
      <c r="A96" s="106"/>
      <c r="E96">
        <v>15</v>
      </c>
      <c r="F96" s="114">
        <v>0.97</v>
      </c>
      <c r="G96" s="114"/>
      <c r="H96" s="114"/>
      <c r="J96" s="105"/>
    </row>
    <row r="97" spans="1:10" hidden="1" x14ac:dyDescent="0.2">
      <c r="A97" s="106"/>
      <c r="E97">
        <v>20</v>
      </c>
      <c r="F97" s="114">
        <v>1.01</v>
      </c>
      <c r="G97" s="114"/>
      <c r="H97" s="114"/>
      <c r="J97" s="105"/>
    </row>
    <row r="98" spans="1:10" hidden="1" x14ac:dyDescent="0.2">
      <c r="A98" s="106"/>
      <c r="E98">
        <v>25</v>
      </c>
      <c r="F98" s="14">
        <f>F$97+(F$99-F$97)*($E98-$E$97)/($E$99-$E$97)</f>
        <v>1.0350000000000001</v>
      </c>
      <c r="G98" s="14"/>
      <c r="H98" s="14"/>
      <c r="J98" s="105"/>
    </row>
    <row r="99" spans="1:10" hidden="1" x14ac:dyDescent="0.2">
      <c r="A99" s="106"/>
      <c r="E99">
        <v>30</v>
      </c>
      <c r="F99" s="114">
        <v>1.06</v>
      </c>
      <c r="G99" s="114"/>
      <c r="H99" s="114"/>
      <c r="J99" s="105"/>
    </row>
    <row r="100" spans="1:10" hidden="1" x14ac:dyDescent="0.2">
      <c r="A100" s="106"/>
      <c r="E100">
        <v>35</v>
      </c>
      <c r="F100" s="14">
        <f t="shared" ref="F100:F102" si="4">F$99+(F$103-F$99)*($E100-$E$99)/($E$103-$E$99)</f>
        <v>1.0750000000000002</v>
      </c>
      <c r="G100" s="14"/>
      <c r="H100" s="14"/>
      <c r="J100" s="105"/>
    </row>
    <row r="101" spans="1:10" hidden="1" x14ac:dyDescent="0.2">
      <c r="A101" s="106"/>
      <c r="E101">
        <v>40</v>
      </c>
      <c r="F101" s="14">
        <f t="shared" si="4"/>
        <v>1.0900000000000001</v>
      </c>
      <c r="G101" s="14"/>
      <c r="H101" s="14"/>
      <c r="J101" s="105"/>
    </row>
    <row r="102" spans="1:10" hidden="1" x14ac:dyDescent="0.2">
      <c r="A102" s="106"/>
      <c r="E102">
        <v>45</v>
      </c>
      <c r="F102" s="14">
        <f t="shared" si="4"/>
        <v>1.105</v>
      </c>
      <c r="G102" s="14"/>
      <c r="H102" s="14"/>
      <c r="J102" s="105"/>
    </row>
    <row r="103" spans="1:10" hidden="1" x14ac:dyDescent="0.2">
      <c r="A103" s="106"/>
      <c r="E103">
        <v>50</v>
      </c>
      <c r="F103" s="114">
        <v>1.1200000000000001</v>
      </c>
      <c r="G103" s="114"/>
      <c r="H103" s="114"/>
      <c r="J103" s="105"/>
    </row>
    <row r="104" spans="1:10" hidden="1" x14ac:dyDescent="0.2">
      <c r="A104" s="106"/>
      <c r="E104">
        <v>55</v>
      </c>
      <c r="F104" s="14">
        <f t="shared" ref="F104:F112" si="5">F$103+(F$113-F$103)*($E104-$E$103)/($E$113-$E$103)</f>
        <v>1.1280000000000001</v>
      </c>
      <c r="G104" s="14"/>
      <c r="H104" s="14"/>
      <c r="J104" s="105"/>
    </row>
    <row r="105" spans="1:10" hidden="1" x14ac:dyDescent="0.2">
      <c r="A105" s="106"/>
      <c r="E105">
        <v>60</v>
      </c>
      <c r="F105" s="14">
        <f t="shared" si="5"/>
        <v>1.1360000000000001</v>
      </c>
      <c r="G105" s="14"/>
      <c r="H105" s="14"/>
      <c r="J105" s="105"/>
    </row>
    <row r="106" spans="1:10" hidden="1" x14ac:dyDescent="0.2">
      <c r="A106" s="106"/>
      <c r="E106">
        <v>65</v>
      </c>
      <c r="F106" s="14">
        <f t="shared" si="5"/>
        <v>1.1440000000000001</v>
      </c>
      <c r="G106" s="14"/>
      <c r="H106" s="14"/>
      <c r="J106" s="105"/>
    </row>
    <row r="107" spans="1:10" hidden="1" x14ac:dyDescent="0.2">
      <c r="A107" s="106"/>
      <c r="E107">
        <v>70</v>
      </c>
      <c r="F107" s="14">
        <f t="shared" si="5"/>
        <v>1.1520000000000001</v>
      </c>
      <c r="G107" s="14"/>
      <c r="H107" s="14"/>
      <c r="J107" s="105"/>
    </row>
    <row r="108" spans="1:10" hidden="1" x14ac:dyDescent="0.2">
      <c r="A108" s="106"/>
      <c r="E108">
        <v>75</v>
      </c>
      <c r="F108" s="14">
        <f t="shared" si="5"/>
        <v>1.1600000000000001</v>
      </c>
      <c r="G108" s="14"/>
      <c r="H108" s="14"/>
      <c r="J108" s="105"/>
    </row>
    <row r="109" spans="1:10" hidden="1" x14ac:dyDescent="0.2">
      <c r="A109" s="106"/>
      <c r="E109">
        <v>80</v>
      </c>
      <c r="F109" s="14">
        <f t="shared" si="5"/>
        <v>1.1679999999999999</v>
      </c>
      <c r="G109" s="14"/>
      <c r="H109" s="14"/>
      <c r="J109" s="105"/>
    </row>
    <row r="110" spans="1:10" hidden="1" x14ac:dyDescent="0.2">
      <c r="A110" s="106"/>
      <c r="E110">
        <v>85</v>
      </c>
      <c r="F110" s="14">
        <f t="shared" si="5"/>
        <v>1.1759999999999999</v>
      </c>
      <c r="G110" s="14"/>
      <c r="H110" s="14"/>
      <c r="J110" s="105"/>
    </row>
    <row r="111" spans="1:10" hidden="1" x14ac:dyDescent="0.2">
      <c r="A111" s="106"/>
      <c r="E111">
        <v>90</v>
      </c>
      <c r="F111" s="14">
        <f t="shared" si="5"/>
        <v>1.1839999999999999</v>
      </c>
      <c r="G111" s="14"/>
      <c r="H111" s="14"/>
      <c r="J111" s="105"/>
    </row>
    <row r="112" spans="1:10" hidden="1" x14ac:dyDescent="0.2">
      <c r="A112" s="106"/>
      <c r="E112">
        <v>95</v>
      </c>
      <c r="F112" s="14">
        <f t="shared" si="5"/>
        <v>1.1919999999999999</v>
      </c>
      <c r="G112" s="14"/>
      <c r="H112" s="14"/>
      <c r="J112" s="105"/>
    </row>
    <row r="113" spans="1:10" hidden="1" x14ac:dyDescent="0.2">
      <c r="A113" s="106"/>
      <c r="E113">
        <v>100</v>
      </c>
      <c r="F113" s="114">
        <v>1.2</v>
      </c>
      <c r="G113" s="114"/>
      <c r="H113" s="114"/>
      <c r="J113" s="105"/>
    </row>
    <row r="114" spans="1:10" hidden="1" x14ac:dyDescent="0.2">
      <c r="A114" s="106"/>
      <c r="F114"/>
      <c r="J114" s="105"/>
    </row>
    <row r="115" spans="1:10" hidden="1" x14ac:dyDescent="0.2">
      <c r="A115" s="106"/>
      <c r="E115" t="s">
        <v>31</v>
      </c>
      <c r="F115">
        <v>4</v>
      </c>
      <c r="J115" s="105"/>
    </row>
    <row r="116" spans="1:10" hidden="1" x14ac:dyDescent="0.2">
      <c r="A116" s="106"/>
      <c r="E116" s="61" t="s">
        <v>32</v>
      </c>
      <c r="F116" s="61" t="s">
        <v>17</v>
      </c>
      <c r="G116" s="61"/>
      <c r="H116" s="61"/>
      <c r="J116" s="105"/>
    </row>
    <row r="117" spans="1:10" hidden="1" x14ac:dyDescent="0.2">
      <c r="A117" s="106"/>
      <c r="E117">
        <v>0</v>
      </c>
      <c r="F117" s="14">
        <v>0.8</v>
      </c>
      <c r="G117" s="14"/>
      <c r="H117" s="14"/>
      <c r="J117" s="105"/>
    </row>
    <row r="118" spans="1:10" hidden="1" x14ac:dyDescent="0.2">
      <c r="A118" s="106"/>
      <c r="E118">
        <v>5</v>
      </c>
      <c r="F118" s="14">
        <v>0.8</v>
      </c>
      <c r="G118" s="14"/>
      <c r="H118" s="14"/>
      <c r="J118" s="105"/>
    </row>
    <row r="119" spans="1:10" hidden="1" x14ac:dyDescent="0.2">
      <c r="A119" s="106"/>
      <c r="E119">
        <v>10</v>
      </c>
      <c r="F119" s="114">
        <v>0.8</v>
      </c>
      <c r="G119" s="114"/>
      <c r="H119" s="114"/>
      <c r="J119" s="105"/>
    </row>
    <row r="120" spans="1:10" hidden="1" x14ac:dyDescent="0.2">
      <c r="A120" s="106"/>
      <c r="E120">
        <v>15</v>
      </c>
      <c r="F120" s="114">
        <v>0.8</v>
      </c>
      <c r="G120" s="114"/>
      <c r="H120" s="114"/>
      <c r="J120" s="105"/>
    </row>
    <row r="121" spans="1:10" hidden="1" x14ac:dyDescent="0.2">
      <c r="A121" s="106"/>
      <c r="E121">
        <v>20</v>
      </c>
      <c r="F121" s="114">
        <v>0.8</v>
      </c>
      <c r="G121" s="114"/>
      <c r="H121" s="114"/>
      <c r="J121" s="105"/>
    </row>
    <row r="122" spans="1:10" hidden="1" x14ac:dyDescent="0.2">
      <c r="A122" s="106"/>
      <c r="E122">
        <v>25</v>
      </c>
      <c r="F122" s="14">
        <f>F$121+(F$123-F$121)*($E122-$E$121)/($E$123-$E$121)</f>
        <v>0.88500000000000001</v>
      </c>
      <c r="G122" s="14"/>
      <c r="H122" s="14"/>
      <c r="J122" s="105"/>
    </row>
    <row r="123" spans="1:10" hidden="1" x14ac:dyDescent="0.2">
      <c r="A123" s="106"/>
      <c r="E123">
        <v>30</v>
      </c>
      <c r="F123" s="114">
        <v>0.97</v>
      </c>
      <c r="G123" s="114"/>
      <c r="H123" s="114"/>
      <c r="J123" s="105"/>
    </row>
    <row r="124" spans="1:10" hidden="1" x14ac:dyDescent="0.2">
      <c r="A124" s="106"/>
      <c r="E124">
        <v>35</v>
      </c>
      <c r="F124" s="14">
        <f t="shared" ref="F124:F126" si="6">F$123+(F$127-F$123)*($E124-$E$123)/($E$127-$E$123)</f>
        <v>1.0024999999999999</v>
      </c>
      <c r="G124" s="14"/>
      <c r="H124" s="14"/>
      <c r="J124" s="105"/>
    </row>
    <row r="125" spans="1:10" hidden="1" x14ac:dyDescent="0.2">
      <c r="A125" s="106"/>
      <c r="E125">
        <v>40</v>
      </c>
      <c r="F125" s="14">
        <f t="shared" si="6"/>
        <v>1.0350000000000001</v>
      </c>
      <c r="G125" s="14"/>
      <c r="H125" s="14"/>
      <c r="J125" s="105"/>
    </row>
    <row r="126" spans="1:10" hidden="1" x14ac:dyDescent="0.2">
      <c r="A126" s="106"/>
      <c r="E126">
        <v>45</v>
      </c>
      <c r="F126" s="14">
        <f t="shared" si="6"/>
        <v>1.0675000000000001</v>
      </c>
      <c r="G126" s="14"/>
      <c r="H126" s="14"/>
      <c r="J126" s="105"/>
    </row>
    <row r="127" spans="1:10" hidden="1" x14ac:dyDescent="0.2">
      <c r="A127" s="106"/>
      <c r="E127">
        <v>50</v>
      </c>
      <c r="F127" s="114">
        <v>1.1000000000000001</v>
      </c>
      <c r="G127" s="114"/>
      <c r="H127" s="114"/>
      <c r="J127" s="105"/>
    </row>
    <row r="128" spans="1:10" hidden="1" x14ac:dyDescent="0.2">
      <c r="A128" s="106"/>
      <c r="E128">
        <v>55</v>
      </c>
      <c r="F128" s="14">
        <f t="shared" ref="F128:F136" si="7">F$127+(F$137-F$127)*($E128-$E$127)/($E$137-$E$127)</f>
        <v>1.1100000000000001</v>
      </c>
      <c r="G128" s="14"/>
      <c r="H128" s="14"/>
      <c r="J128" s="105"/>
    </row>
    <row r="129" spans="1:10" hidden="1" x14ac:dyDescent="0.2">
      <c r="A129" s="106"/>
      <c r="E129">
        <v>60</v>
      </c>
      <c r="F129" s="14">
        <f t="shared" si="7"/>
        <v>1.1200000000000001</v>
      </c>
      <c r="G129" s="14"/>
      <c r="H129" s="14"/>
      <c r="J129" s="105"/>
    </row>
    <row r="130" spans="1:10" hidden="1" x14ac:dyDescent="0.2">
      <c r="A130" s="106"/>
      <c r="E130">
        <v>65</v>
      </c>
      <c r="F130" s="14">
        <f t="shared" si="7"/>
        <v>1.1300000000000001</v>
      </c>
      <c r="G130" s="14"/>
      <c r="H130" s="14"/>
      <c r="J130" s="105"/>
    </row>
    <row r="131" spans="1:10" hidden="1" x14ac:dyDescent="0.2">
      <c r="A131" s="106"/>
      <c r="E131">
        <v>70</v>
      </c>
      <c r="F131" s="14">
        <f t="shared" si="7"/>
        <v>1.1400000000000001</v>
      </c>
      <c r="G131" s="14"/>
      <c r="H131" s="14"/>
      <c r="J131" s="105"/>
    </row>
    <row r="132" spans="1:10" hidden="1" x14ac:dyDescent="0.2">
      <c r="A132" s="106"/>
      <c r="E132">
        <v>75</v>
      </c>
      <c r="F132" s="14">
        <f t="shared" si="7"/>
        <v>1.1499999999999999</v>
      </c>
      <c r="G132" s="14"/>
      <c r="H132" s="14"/>
      <c r="J132" s="105"/>
    </row>
    <row r="133" spans="1:10" hidden="1" x14ac:dyDescent="0.2">
      <c r="A133" s="106"/>
      <c r="E133">
        <v>80</v>
      </c>
      <c r="F133" s="14">
        <f t="shared" si="7"/>
        <v>1.1599999999999999</v>
      </c>
      <c r="G133" s="14"/>
      <c r="H133" s="14"/>
      <c r="J133" s="105"/>
    </row>
    <row r="134" spans="1:10" hidden="1" x14ac:dyDescent="0.2">
      <c r="A134" s="106"/>
      <c r="E134">
        <v>85</v>
      </c>
      <c r="F134" s="14">
        <f t="shared" si="7"/>
        <v>1.17</v>
      </c>
      <c r="G134" s="14"/>
      <c r="H134" s="14"/>
      <c r="J134" s="105"/>
    </row>
    <row r="135" spans="1:10" hidden="1" x14ac:dyDescent="0.2">
      <c r="A135" s="106"/>
      <c r="E135">
        <v>90</v>
      </c>
      <c r="F135" s="14">
        <f t="shared" si="7"/>
        <v>1.18</v>
      </c>
      <c r="G135" s="14"/>
      <c r="H135" s="14"/>
      <c r="J135" s="105"/>
    </row>
    <row r="136" spans="1:10" hidden="1" x14ac:dyDescent="0.2">
      <c r="A136" s="106"/>
      <c r="E136">
        <v>95</v>
      </c>
      <c r="F136" s="14">
        <f t="shared" si="7"/>
        <v>1.19</v>
      </c>
      <c r="G136" s="14"/>
      <c r="H136" s="14"/>
      <c r="J136" s="105"/>
    </row>
    <row r="137" spans="1:10" hidden="1" x14ac:dyDescent="0.2">
      <c r="A137" s="106"/>
      <c r="E137">
        <v>100</v>
      </c>
      <c r="F137" s="114">
        <v>1.2</v>
      </c>
      <c r="G137" s="114"/>
      <c r="H137" s="114"/>
      <c r="J137" s="105"/>
    </row>
    <row r="138" spans="1:10" hidden="1" x14ac:dyDescent="0.2">
      <c r="A138" s="106"/>
      <c r="F138" s="14"/>
      <c r="G138" s="14"/>
      <c r="H138" s="14"/>
      <c r="J138" s="105"/>
    </row>
    <row r="139" spans="1:10" hidden="1" x14ac:dyDescent="0.2">
      <c r="A139" s="106"/>
      <c r="E139" t="s">
        <v>33</v>
      </c>
      <c r="F139" s="14">
        <f>F40</f>
        <v>28.5</v>
      </c>
      <c r="G139" s="14" t="s">
        <v>4</v>
      </c>
      <c r="H139" s="14"/>
      <c r="J139" s="105"/>
    </row>
    <row r="140" spans="1:10" hidden="1" x14ac:dyDescent="0.2">
      <c r="A140" s="106"/>
      <c r="E140" t="s">
        <v>34</v>
      </c>
      <c r="F140" s="14">
        <f>INT(F139/5)*5</f>
        <v>25</v>
      </c>
      <c r="G140" s="14" t="s">
        <v>4</v>
      </c>
      <c r="H140" s="14"/>
      <c r="J140" s="105"/>
    </row>
    <row r="141" spans="1:10" hidden="1" x14ac:dyDescent="0.2">
      <c r="A141" s="106"/>
      <c r="E141" t="s">
        <v>35</v>
      </c>
      <c r="F141" s="14">
        <f>CEILING(F139,5)</f>
        <v>30</v>
      </c>
      <c r="G141" s="14" t="s">
        <v>4</v>
      </c>
      <c r="J141" s="105"/>
    </row>
    <row r="142" spans="1:10" hidden="1" x14ac:dyDescent="0.2">
      <c r="A142" s="106" t="s">
        <v>47</v>
      </c>
      <c r="E142" t="s">
        <v>36</v>
      </c>
      <c r="F142">
        <v>2</v>
      </c>
      <c r="J142" s="105"/>
    </row>
    <row r="143" spans="1:10" hidden="1" x14ac:dyDescent="0.2">
      <c r="A143" s="106" t="s">
        <v>49</v>
      </c>
      <c r="E143" t="s">
        <v>37</v>
      </c>
      <c r="F143">
        <f>VLOOKUP(F140,IF(F15=1,E45:H65,IF(F15=2,E69:H89,IF(F15=3,E93:H113,E117:H137))),F142)</f>
        <v>1.0950000000000002</v>
      </c>
      <c r="J143" s="105"/>
    </row>
    <row r="144" spans="1:10" hidden="1" x14ac:dyDescent="0.2">
      <c r="A144" s="106" t="s">
        <v>48</v>
      </c>
      <c r="E144" t="s">
        <v>38</v>
      </c>
      <c r="F144">
        <f>VLOOKUP(F141,IF(F15=1,E45:H65,IF(F15=2,E69:H89,IF(F15=3,E93:H113,E117:H137))),F142)</f>
        <v>1.1200000000000001</v>
      </c>
      <c r="J144" s="105"/>
    </row>
    <row r="145" spans="1:20" hidden="1" x14ac:dyDescent="0.2">
      <c r="A145" s="106"/>
      <c r="J145" s="105"/>
    </row>
    <row r="146" spans="1:20" ht="14.25" x14ac:dyDescent="0.25">
      <c r="A146" s="103" t="s">
        <v>43</v>
      </c>
      <c r="B146" s="2"/>
      <c r="C146" s="2"/>
      <c r="D146" s="2"/>
      <c r="F146" s="115">
        <f>IF((F141-F140)&gt;0,F143+(F144-F143)*(F139-F140)/(F141-F140),F143)</f>
        <v>1.1125</v>
      </c>
      <c r="H146" s="116"/>
      <c r="I146" s="80" t="s">
        <v>239</v>
      </c>
      <c r="J146" s="117">
        <v>0.9</v>
      </c>
      <c r="L146" t="s">
        <v>245</v>
      </c>
      <c r="M146">
        <f>I7*F6</f>
        <v>132.09</v>
      </c>
      <c r="N146">
        <f>VLOOKUP(M146,P43:Q150,2)</f>
        <v>0.8</v>
      </c>
      <c r="P146" t="str">
        <f>IF(AND(M146&gt;P43,M146&lt;P147),M146,"")</f>
        <v/>
      </c>
      <c r="Q146" t="str">
        <f>IF(P146="","",Q43-(Q43-Q147)/(P147-P43)*(P146-P43))</f>
        <v/>
      </c>
      <c r="S146" t="str">
        <f>IF(AND(M147&gt;S43,M147&lt;S147),M147,"")</f>
        <v/>
      </c>
      <c r="T146" t="str">
        <f>IF(S146="","",T43-(T43-T147)/(S147-S43)*(S146-S43))</f>
        <v/>
      </c>
    </row>
    <row r="147" spans="1:20" x14ac:dyDescent="0.2">
      <c r="A147" s="103" t="s">
        <v>44</v>
      </c>
      <c r="B147" s="2"/>
      <c r="C147" s="2"/>
      <c r="D147" s="2"/>
      <c r="F147" s="111">
        <v>1</v>
      </c>
      <c r="H147" s="116"/>
      <c r="I147" s="80" t="s">
        <v>240</v>
      </c>
      <c r="J147" s="117">
        <f>MAX(N146,N147)</f>
        <v>0.8</v>
      </c>
      <c r="L147" t="s">
        <v>246</v>
      </c>
      <c r="M147">
        <f>I7*F8</f>
        <v>171</v>
      </c>
      <c r="N147">
        <f>VLOOKUP(M147,S43:T150,2)</f>
        <v>0.8</v>
      </c>
      <c r="P147">
        <v>25</v>
      </c>
      <c r="Q147">
        <v>0.9</v>
      </c>
      <c r="S147">
        <v>25</v>
      </c>
      <c r="T147">
        <v>0.9</v>
      </c>
    </row>
    <row r="148" spans="1:20" ht="14.25" x14ac:dyDescent="0.25">
      <c r="A148" s="118" t="s">
        <v>238</v>
      </c>
      <c r="C148" s="2"/>
      <c r="D148" s="2"/>
      <c r="F148" s="111">
        <v>1</v>
      </c>
      <c r="H148" s="116"/>
      <c r="I148" s="80" t="s">
        <v>241</v>
      </c>
      <c r="J148" s="117">
        <v>0.9</v>
      </c>
      <c r="P148" t="str">
        <f>IF(AND(M146&gt;P147,M146&lt;P149),M146,"")</f>
        <v/>
      </c>
      <c r="Q148" t="str">
        <f>IF(P148="","",Q147-(Q147-Q149)/(P149-P147)*(P148-P147))</f>
        <v/>
      </c>
      <c r="S148" t="str">
        <f>IF(AND(M147&gt;S147,M147&lt;S149),M147,"")</f>
        <v/>
      </c>
      <c r="T148" t="str">
        <f>IF(S148="","",T147-(T147-T149)/(S149-S147)*(S148-S147))</f>
        <v/>
      </c>
    </row>
    <row r="149" spans="1:20" x14ac:dyDescent="0.2">
      <c r="A149" s="106"/>
      <c r="J149" s="105"/>
      <c r="P149">
        <v>100</v>
      </c>
      <c r="Q149">
        <v>0.8</v>
      </c>
      <c r="S149">
        <v>100</v>
      </c>
      <c r="T149">
        <v>0.8</v>
      </c>
    </row>
    <row r="150" spans="1:20" x14ac:dyDescent="0.2">
      <c r="A150" s="103" t="s">
        <v>7</v>
      </c>
      <c r="B150" s="2"/>
      <c r="C150" s="2"/>
      <c r="D150" s="2"/>
      <c r="E150" t="s">
        <v>1</v>
      </c>
      <c r="F150" s="1">
        <f>F39*F146*F147*F13*F148</f>
        <v>43.387500000000003</v>
      </c>
      <c r="J150" s="105"/>
      <c r="P150">
        <f>IF(M146&gt;P149,M146,"")</f>
        <v>132.09</v>
      </c>
      <c r="Q150">
        <v>0.8</v>
      </c>
      <c r="S150" t="str">
        <f>IF(P146&gt;S149,P146,"")</f>
        <v/>
      </c>
      <c r="T150">
        <v>0.8</v>
      </c>
    </row>
    <row r="151" spans="1:20" x14ac:dyDescent="0.2">
      <c r="A151" s="103" t="s">
        <v>243</v>
      </c>
      <c r="B151" s="2"/>
      <c r="C151" s="2"/>
      <c r="D151" s="2"/>
      <c r="E151" t="s">
        <v>3</v>
      </c>
      <c r="F151" s="119">
        <f>0.6*F150^2/1000</f>
        <v>1.1294850937500001</v>
      </c>
      <c r="J151" s="105"/>
    </row>
    <row r="152" spans="1:20" x14ac:dyDescent="0.2">
      <c r="A152" s="103" t="s">
        <v>242</v>
      </c>
      <c r="B152" s="2"/>
      <c r="C152" s="2"/>
      <c r="D152" s="2"/>
      <c r="E152" t="s">
        <v>3</v>
      </c>
      <c r="F152" s="119">
        <f>IF(K152&lt;0.7*F151,0.7*F151,K152)</f>
        <v>0.79063956562500004</v>
      </c>
      <c r="J152" s="105"/>
      <c r="K152">
        <f>IF(F8&lt;10,0.8*F151*J146*J147*J148,F151*J146*J147*J148)</f>
        <v>0.73190634075000016</v>
      </c>
    </row>
    <row r="153" spans="1:20" x14ac:dyDescent="0.2">
      <c r="A153" s="106"/>
      <c r="J153" s="105"/>
    </row>
    <row r="154" spans="1:20" x14ac:dyDescent="0.2">
      <c r="A154" s="103"/>
      <c r="B154" s="2"/>
      <c r="C154" s="2"/>
      <c r="D154" s="2"/>
      <c r="J154" s="105"/>
    </row>
    <row r="155" spans="1:20" ht="13.5" thickBot="1" x14ac:dyDescent="0.25">
      <c r="A155" s="103" t="s">
        <v>123</v>
      </c>
      <c r="B155" s="2"/>
      <c r="C155" s="2"/>
      <c r="D155" s="2"/>
      <c r="E155" s="61" t="s">
        <v>80</v>
      </c>
      <c r="H155" s="61" t="s">
        <v>0</v>
      </c>
      <c r="J155" s="105"/>
    </row>
    <row r="156" spans="1:20" x14ac:dyDescent="0.2">
      <c r="A156" s="120" t="s">
        <v>55</v>
      </c>
      <c r="B156" s="21"/>
      <c r="C156" s="21"/>
      <c r="D156" s="21"/>
      <c r="E156" s="168"/>
      <c r="F156" s="167" t="s">
        <v>79</v>
      </c>
      <c r="G156" s="170" t="s">
        <v>17</v>
      </c>
      <c r="H156" s="168"/>
      <c r="I156" s="167" t="s">
        <v>18</v>
      </c>
      <c r="J156" s="105"/>
    </row>
    <row r="157" spans="1:20" ht="13.5" thickBot="1" x14ac:dyDescent="0.25">
      <c r="A157" s="120"/>
      <c r="B157" s="21"/>
      <c r="C157" s="21"/>
      <c r="D157" s="21"/>
      <c r="E157" s="173"/>
      <c r="F157" s="167"/>
      <c r="G157" s="170"/>
      <c r="H157" s="169"/>
      <c r="I157" s="167"/>
      <c r="J157" s="105"/>
    </row>
    <row r="158" spans="1:20" ht="13.5" thickBot="1" x14ac:dyDescent="0.25">
      <c r="A158" s="120"/>
      <c r="B158" s="21"/>
      <c r="C158" s="21"/>
      <c r="D158" s="21"/>
      <c r="E158" s="169"/>
      <c r="F158" s="167"/>
      <c r="H158" s="61" t="s">
        <v>19</v>
      </c>
      <c r="J158" s="105"/>
    </row>
    <row r="159" spans="1:20" x14ac:dyDescent="0.2">
      <c r="A159" s="120"/>
      <c r="B159" s="21"/>
      <c r="C159" s="21"/>
      <c r="D159" s="21"/>
      <c r="E159" s="61" t="s">
        <v>81</v>
      </c>
      <c r="H159" s="61" t="s">
        <v>78</v>
      </c>
      <c r="J159" s="105"/>
    </row>
    <row r="160" spans="1:20" x14ac:dyDescent="0.2">
      <c r="A160" s="120"/>
      <c r="B160" s="21"/>
      <c r="C160" s="21"/>
      <c r="D160" s="21"/>
      <c r="E160" s="61"/>
      <c r="H160" s="61"/>
      <c r="J160" s="105"/>
    </row>
    <row r="161" spans="1:10" x14ac:dyDescent="0.2">
      <c r="A161" s="103" t="s">
        <v>8</v>
      </c>
      <c r="B161" s="2"/>
      <c r="C161" s="2"/>
      <c r="D161" s="2"/>
      <c r="F161" s="121">
        <f>F10/F6</f>
        <v>1.2945718828071768</v>
      </c>
      <c r="J161" s="105"/>
    </row>
    <row r="162" spans="1:10" x14ac:dyDescent="0.2">
      <c r="A162" s="103" t="s">
        <v>13</v>
      </c>
      <c r="B162" s="2"/>
      <c r="C162" s="2"/>
      <c r="D162" s="2"/>
      <c r="F162" s="121">
        <f>F5/F6</f>
        <v>3.270497388144447</v>
      </c>
      <c r="J162" s="105"/>
    </row>
    <row r="163" spans="1:10" hidden="1" x14ac:dyDescent="0.2">
      <c r="A163" s="120"/>
      <c r="B163" s="21"/>
      <c r="C163" s="21"/>
      <c r="D163" s="21"/>
      <c r="J163" s="105"/>
    </row>
    <row r="164" spans="1:10" hidden="1" x14ac:dyDescent="0.2">
      <c r="A164" s="122" t="s">
        <v>8</v>
      </c>
      <c r="B164" s="61" t="s">
        <v>56</v>
      </c>
      <c r="C164" t="s">
        <v>57</v>
      </c>
      <c r="D164" s="61" t="s">
        <v>17</v>
      </c>
      <c r="E164" s="61" t="s">
        <v>18</v>
      </c>
      <c r="F164" s="61" t="s">
        <v>0</v>
      </c>
      <c r="G164" s="61" t="s">
        <v>19</v>
      </c>
      <c r="H164" s="61" t="s">
        <v>68</v>
      </c>
      <c r="J164" s="105"/>
    </row>
    <row r="165" spans="1:10" ht="14.25" hidden="1" x14ac:dyDescent="0.2">
      <c r="A165" s="106"/>
      <c r="B165" s="16" t="s">
        <v>58</v>
      </c>
      <c r="C165" s="15" t="s">
        <v>74</v>
      </c>
      <c r="D165" s="4">
        <v>0.7</v>
      </c>
      <c r="E165" s="4">
        <v>-0.2</v>
      </c>
      <c r="F165" s="4">
        <v>-0.5</v>
      </c>
      <c r="G165" s="4">
        <v>-0.5</v>
      </c>
      <c r="H165" s="4">
        <v>-0.8</v>
      </c>
      <c r="J165" s="105"/>
    </row>
    <row r="166" spans="1:10" ht="14.25" hidden="1" x14ac:dyDescent="0.2">
      <c r="A166" s="123"/>
      <c r="B166" s="17"/>
      <c r="C166" s="15" t="s">
        <v>75</v>
      </c>
      <c r="D166" s="4">
        <v>-0.5</v>
      </c>
      <c r="E166" s="4">
        <v>-0.5</v>
      </c>
      <c r="F166" s="4">
        <v>0.7</v>
      </c>
      <c r="G166" s="4">
        <v>-0.2</v>
      </c>
      <c r="H166" s="4">
        <v>-0.8</v>
      </c>
      <c r="J166" s="105"/>
    </row>
    <row r="167" spans="1:10" hidden="1" x14ac:dyDescent="0.2">
      <c r="A167" s="124">
        <v>0.5</v>
      </c>
      <c r="B167" s="18"/>
      <c r="D167" s="1"/>
      <c r="F167"/>
      <c r="J167" s="105"/>
    </row>
    <row r="168" spans="1:10" ht="14.25" hidden="1" x14ac:dyDescent="0.2">
      <c r="A168" s="120"/>
      <c r="B168" s="19" t="s">
        <v>59</v>
      </c>
      <c r="C168" s="15" t="s">
        <v>74</v>
      </c>
      <c r="D168" s="4">
        <v>0.7</v>
      </c>
      <c r="E168" s="4">
        <v>-0.25</v>
      </c>
      <c r="F168" s="4">
        <v>-0.6</v>
      </c>
      <c r="G168" s="4">
        <v>-0.6</v>
      </c>
      <c r="H168" s="22">
        <v>-1</v>
      </c>
      <c r="J168" s="105"/>
    </row>
    <row r="169" spans="1:10" ht="14.25" hidden="1" x14ac:dyDescent="0.2">
      <c r="A169" s="120"/>
      <c r="B169" s="20"/>
      <c r="C169" s="15" t="s">
        <v>75</v>
      </c>
      <c r="D169" s="4">
        <v>-0.5</v>
      </c>
      <c r="E169" s="4">
        <v>-0.5</v>
      </c>
      <c r="F169" s="4">
        <v>0.7</v>
      </c>
      <c r="G169" s="4">
        <v>-0.1</v>
      </c>
      <c r="H169" s="22">
        <v>-1</v>
      </c>
      <c r="J169" s="105"/>
    </row>
    <row r="170" spans="1:10" hidden="1" x14ac:dyDescent="0.2">
      <c r="A170" s="120"/>
      <c r="B170" s="21"/>
      <c r="F170"/>
      <c r="J170" s="105"/>
    </row>
    <row r="171" spans="1:10" ht="14.25" hidden="1" x14ac:dyDescent="0.2">
      <c r="A171" s="106"/>
      <c r="B171" s="16" t="s">
        <v>58</v>
      </c>
      <c r="C171" s="15" t="s">
        <v>74</v>
      </c>
      <c r="D171" s="4">
        <v>0.7</v>
      </c>
      <c r="E171" s="4">
        <v>-0.25</v>
      </c>
      <c r="F171" s="4">
        <v>-0.6</v>
      </c>
      <c r="G171" s="4">
        <v>-0.6</v>
      </c>
      <c r="H171" s="4">
        <v>-1.1000000000000001</v>
      </c>
      <c r="J171" s="105"/>
    </row>
    <row r="172" spans="1:10" ht="14.25" hidden="1" x14ac:dyDescent="0.2">
      <c r="A172" s="123"/>
      <c r="B172" s="17"/>
      <c r="C172" s="15" t="s">
        <v>75</v>
      </c>
      <c r="D172" s="4">
        <v>-0.6</v>
      </c>
      <c r="E172" s="4">
        <v>-0.6</v>
      </c>
      <c r="F172" s="4">
        <v>0.7</v>
      </c>
      <c r="G172" s="4">
        <v>-0.25</v>
      </c>
      <c r="H172" s="4">
        <v>-1.1000000000000001</v>
      </c>
      <c r="J172" s="105"/>
    </row>
    <row r="173" spans="1:10" hidden="1" x14ac:dyDescent="0.2">
      <c r="A173" s="124" t="s">
        <v>60</v>
      </c>
      <c r="B173" s="18"/>
      <c r="D173" s="1"/>
      <c r="F173"/>
      <c r="J173" s="105"/>
    </row>
    <row r="174" spans="1:10" ht="14.25" hidden="1" x14ac:dyDescent="0.2">
      <c r="A174" s="120"/>
      <c r="B174" s="19" t="s">
        <v>59</v>
      </c>
      <c r="C174" s="15" t="s">
        <v>74</v>
      </c>
      <c r="D174" s="4">
        <v>0.7</v>
      </c>
      <c r="E174" s="4">
        <v>-0.3</v>
      </c>
      <c r="F174" s="4">
        <v>-0.7</v>
      </c>
      <c r="G174" s="4">
        <v>-0.7</v>
      </c>
      <c r="H174" s="4">
        <v>-1.1000000000000001</v>
      </c>
      <c r="J174" s="105"/>
    </row>
    <row r="175" spans="1:10" ht="14.25" hidden="1" x14ac:dyDescent="0.2">
      <c r="A175" s="120"/>
      <c r="B175" s="20"/>
      <c r="C175" s="15" t="s">
        <v>75</v>
      </c>
      <c r="D175" s="4">
        <v>-0.5</v>
      </c>
      <c r="E175" s="4">
        <v>-0.5</v>
      </c>
      <c r="F175" s="4">
        <v>0.7</v>
      </c>
      <c r="G175" s="4">
        <v>-0.1</v>
      </c>
      <c r="H175" s="4">
        <v>-1.1000000000000001</v>
      </c>
      <c r="J175" s="105"/>
    </row>
    <row r="176" spans="1:10" hidden="1" x14ac:dyDescent="0.2">
      <c r="A176" s="120"/>
      <c r="B176" s="21"/>
      <c r="F176"/>
      <c r="J176" s="105"/>
    </row>
    <row r="177" spans="1:10" ht="14.25" hidden="1" x14ac:dyDescent="0.2">
      <c r="A177" s="106"/>
      <c r="B177" s="16" t="s">
        <v>58</v>
      </c>
      <c r="C177" s="15" t="s">
        <v>74</v>
      </c>
      <c r="D177" s="4">
        <v>0.8</v>
      </c>
      <c r="E177" s="4">
        <v>-0.25</v>
      </c>
      <c r="F177" s="4">
        <v>-0.8</v>
      </c>
      <c r="G177" s="4">
        <v>-0.8</v>
      </c>
      <c r="H177" s="4">
        <v>-1.2</v>
      </c>
      <c r="J177" s="105"/>
    </row>
    <row r="178" spans="1:10" ht="14.25" hidden="1" x14ac:dyDescent="0.2">
      <c r="A178" s="123"/>
      <c r="B178" s="17"/>
      <c r="C178" s="15" t="s">
        <v>75</v>
      </c>
      <c r="D178" s="4">
        <v>-0.8</v>
      </c>
      <c r="E178" s="4">
        <v>-0.8</v>
      </c>
      <c r="F178" s="4">
        <v>0.8</v>
      </c>
      <c r="G178" s="4">
        <v>-0.25</v>
      </c>
      <c r="H178" s="4">
        <v>-1.2</v>
      </c>
      <c r="J178" s="105"/>
    </row>
    <row r="179" spans="1:10" hidden="1" x14ac:dyDescent="0.2">
      <c r="A179" s="124" t="s">
        <v>61</v>
      </c>
      <c r="B179" s="18"/>
      <c r="D179" s="1"/>
      <c r="F179"/>
      <c r="J179" s="105"/>
    </row>
    <row r="180" spans="1:10" ht="14.25" hidden="1" x14ac:dyDescent="0.2">
      <c r="A180" s="120"/>
      <c r="B180" s="19" t="s">
        <v>59</v>
      </c>
      <c r="C180" s="15" t="s">
        <v>74</v>
      </c>
      <c r="D180" s="4">
        <v>0.7</v>
      </c>
      <c r="E180" s="4">
        <v>-0.4</v>
      </c>
      <c r="F180" s="4">
        <v>-0.7</v>
      </c>
      <c r="G180" s="4">
        <v>-0.7</v>
      </c>
      <c r="H180" s="4">
        <v>-1.2</v>
      </c>
      <c r="J180" s="105"/>
    </row>
    <row r="181" spans="1:10" ht="14.25" hidden="1" x14ac:dyDescent="0.2">
      <c r="A181" s="120"/>
      <c r="B181" s="20"/>
      <c r="C181" s="15" t="s">
        <v>75</v>
      </c>
      <c r="D181" s="4">
        <v>-0.5</v>
      </c>
      <c r="E181" s="4">
        <v>-0.5</v>
      </c>
      <c r="F181" s="4">
        <v>0.8</v>
      </c>
      <c r="G181" s="4">
        <v>-0.1</v>
      </c>
      <c r="H181" s="4">
        <v>-1.2</v>
      </c>
      <c r="J181" s="105"/>
    </row>
    <row r="182" spans="1:10" hidden="1" x14ac:dyDescent="0.2">
      <c r="A182" s="120"/>
      <c r="B182" s="21"/>
      <c r="F182"/>
      <c r="J182" s="105"/>
    </row>
    <row r="183" spans="1:10" ht="14.25" hidden="1" x14ac:dyDescent="0.2">
      <c r="A183" s="106"/>
      <c r="B183" s="16">
        <v>1.5</v>
      </c>
      <c r="C183" s="15" t="s">
        <v>74</v>
      </c>
      <c r="D183" s="4">
        <v>0.95</v>
      </c>
      <c r="E183" s="4">
        <v>-1.85</v>
      </c>
      <c r="F183" s="4">
        <v>-0.9</v>
      </c>
      <c r="G183" s="4">
        <v>-0.9</v>
      </c>
      <c r="H183" s="4">
        <v>-1.25</v>
      </c>
      <c r="J183" s="105"/>
    </row>
    <row r="184" spans="1:10" ht="14.25" hidden="1" x14ac:dyDescent="0.2">
      <c r="A184" s="123"/>
      <c r="B184" s="17"/>
      <c r="C184" s="15" t="s">
        <v>75</v>
      </c>
      <c r="D184" s="4">
        <v>-0.8</v>
      </c>
      <c r="E184" s="4">
        <v>-0.8</v>
      </c>
      <c r="F184" s="4">
        <v>0.9</v>
      </c>
      <c r="G184" s="4">
        <v>-0.85</v>
      </c>
      <c r="H184" s="4">
        <v>-1.25</v>
      </c>
      <c r="J184" s="105"/>
    </row>
    <row r="185" spans="1:10" hidden="1" x14ac:dyDescent="0.2">
      <c r="A185" s="106"/>
      <c r="B185" s="18"/>
      <c r="D185" s="1"/>
      <c r="F185"/>
      <c r="J185" s="105"/>
    </row>
    <row r="186" spans="1:10" ht="15.75" hidden="1" x14ac:dyDescent="0.25">
      <c r="A186" s="125" t="s">
        <v>62</v>
      </c>
      <c r="B186" s="19">
        <v>1</v>
      </c>
      <c r="C186" s="15" t="s">
        <v>74</v>
      </c>
      <c r="D186" s="4">
        <v>0.95</v>
      </c>
      <c r="E186" s="4">
        <v>-1.25</v>
      </c>
      <c r="F186" s="4">
        <v>-0.7</v>
      </c>
      <c r="G186" s="4">
        <v>-0.7</v>
      </c>
      <c r="H186" s="4">
        <v>-1.25</v>
      </c>
      <c r="J186" s="105"/>
    </row>
    <row r="187" spans="1:10" ht="14.25" hidden="1" x14ac:dyDescent="0.2">
      <c r="A187" s="120"/>
      <c r="B187" s="18"/>
      <c r="C187" s="15" t="s">
        <v>75</v>
      </c>
      <c r="D187" s="4">
        <v>-0.7</v>
      </c>
      <c r="E187" s="4">
        <v>-0.7</v>
      </c>
      <c r="F187" s="4">
        <v>0.95</v>
      </c>
      <c r="G187" s="4">
        <v>-1.25</v>
      </c>
      <c r="H187" s="4">
        <v>-1.25</v>
      </c>
      <c r="J187" s="105"/>
    </row>
    <row r="188" spans="1:10" hidden="1" x14ac:dyDescent="0.2">
      <c r="A188" s="120"/>
      <c r="B188" s="18"/>
      <c r="F188"/>
      <c r="J188" s="105"/>
    </row>
    <row r="189" spans="1:10" ht="14.25" hidden="1" x14ac:dyDescent="0.2">
      <c r="A189" s="120"/>
      <c r="B189" s="18">
        <v>2</v>
      </c>
      <c r="C189" s="15" t="s">
        <v>74</v>
      </c>
      <c r="D189" s="4">
        <v>0.85</v>
      </c>
      <c r="E189" s="4">
        <v>-0.75</v>
      </c>
      <c r="F189" s="4">
        <v>-0.75</v>
      </c>
      <c r="G189" s="4">
        <v>-0.75</v>
      </c>
      <c r="H189" s="4">
        <v>-1.25</v>
      </c>
      <c r="J189" s="105"/>
    </row>
    <row r="190" spans="1:10" ht="14.25" hidden="1" x14ac:dyDescent="0.2">
      <c r="A190" s="120"/>
      <c r="B190" s="20"/>
      <c r="C190" s="15" t="s">
        <v>75</v>
      </c>
      <c r="D190" s="4">
        <v>-0.75</v>
      </c>
      <c r="E190" s="4">
        <v>-0.75</v>
      </c>
      <c r="F190" s="4">
        <v>0.85</v>
      </c>
      <c r="G190" s="4">
        <v>-0.75</v>
      </c>
      <c r="H190" s="4">
        <v>-1.25</v>
      </c>
      <c r="J190" s="105"/>
    </row>
    <row r="191" spans="1:10" x14ac:dyDescent="0.2">
      <c r="A191" s="120"/>
      <c r="B191" s="21"/>
      <c r="C191" s="21"/>
      <c r="D191" s="21"/>
      <c r="F191"/>
      <c r="J191" s="105"/>
    </row>
    <row r="192" spans="1:10" x14ac:dyDescent="0.2">
      <c r="A192" s="106"/>
      <c r="C192" s="4" t="s">
        <v>57</v>
      </c>
      <c r="D192" s="3" t="s">
        <v>17</v>
      </c>
      <c r="E192" s="3" t="s">
        <v>18</v>
      </c>
      <c r="F192" s="3" t="s">
        <v>0</v>
      </c>
      <c r="G192" s="3" t="s">
        <v>19</v>
      </c>
      <c r="H192" s="3" t="s">
        <v>68</v>
      </c>
      <c r="J192" s="105"/>
    </row>
    <row r="193" spans="1:10" ht="14.25" x14ac:dyDescent="0.2">
      <c r="A193" s="106"/>
      <c r="B193" s="77"/>
      <c r="C193" s="28" t="s">
        <v>72</v>
      </c>
      <c r="D193" s="79">
        <f t="shared" ref="D193:H194" si="8">IF($F$161&lt;=0.5,IF($F$162&lt;=1.5,D165,D168),IF($F$161&lt;=1.5,IF($F$162&lt;=1.5,D171,D174),IF($F$161&lt;=6,IF($F$162&lt;=1.5,D177,D180),IF($F$162&lt;=1,D186,IF($F$162&lt;=1.5,D183,D189)))))</f>
        <v>0.7</v>
      </c>
      <c r="E193" s="79">
        <f t="shared" si="8"/>
        <v>-0.3</v>
      </c>
      <c r="F193" s="79">
        <f t="shared" si="8"/>
        <v>-0.7</v>
      </c>
      <c r="G193" s="79">
        <f t="shared" si="8"/>
        <v>-0.7</v>
      </c>
      <c r="H193" s="79">
        <f t="shared" si="8"/>
        <v>-1.1000000000000001</v>
      </c>
      <c r="J193" s="105"/>
    </row>
    <row r="194" spans="1:10" ht="14.25" x14ac:dyDescent="0.2">
      <c r="A194" s="106"/>
      <c r="B194" s="77"/>
      <c r="C194" s="28" t="s">
        <v>73</v>
      </c>
      <c r="D194" s="79">
        <f t="shared" si="8"/>
        <v>-0.5</v>
      </c>
      <c r="E194" s="79">
        <f t="shared" si="8"/>
        <v>-0.5</v>
      </c>
      <c r="F194" s="79">
        <f t="shared" si="8"/>
        <v>0.7</v>
      </c>
      <c r="G194" s="79">
        <f t="shared" si="8"/>
        <v>-0.1</v>
      </c>
      <c r="H194" s="79">
        <f t="shared" si="8"/>
        <v>-1.1000000000000001</v>
      </c>
      <c r="J194" s="105"/>
    </row>
    <row r="195" spans="1:10" x14ac:dyDescent="0.2">
      <c r="A195" s="126"/>
      <c r="B195" s="77"/>
      <c r="C195" s="77"/>
      <c r="D195" s="77"/>
      <c r="J195" s="105"/>
    </row>
    <row r="196" spans="1:10" x14ac:dyDescent="0.2">
      <c r="A196" s="103" t="s">
        <v>122</v>
      </c>
      <c r="B196" s="2"/>
      <c r="C196" s="2"/>
      <c r="D196" s="2"/>
      <c r="J196" s="105"/>
    </row>
    <row r="197" spans="1:10" x14ac:dyDescent="0.2">
      <c r="A197" s="120" t="s">
        <v>99</v>
      </c>
      <c r="B197" s="21"/>
      <c r="C197" s="21"/>
      <c r="D197" s="21"/>
      <c r="J197" s="105"/>
    </row>
    <row r="198" spans="1:10" x14ac:dyDescent="0.2">
      <c r="A198" s="120" t="s">
        <v>20</v>
      </c>
      <c r="B198" s="21"/>
      <c r="C198" s="21"/>
      <c r="D198" s="21"/>
      <c r="F198" s="55">
        <f>+ATAN(E12/F12)*180/PI()</f>
        <v>5.710593137499643</v>
      </c>
      <c r="J198" s="105"/>
    </row>
    <row r="199" spans="1:10" ht="14.25" x14ac:dyDescent="0.2">
      <c r="A199" s="120" t="s">
        <v>71</v>
      </c>
      <c r="B199" s="21"/>
      <c r="C199" s="21"/>
      <c r="D199" s="21"/>
      <c r="J199" s="105"/>
    </row>
    <row r="200" spans="1:10" x14ac:dyDescent="0.2">
      <c r="A200" s="120"/>
      <c r="B200" s="21"/>
      <c r="C200" s="21"/>
      <c r="D200" s="21"/>
      <c r="J200" s="105"/>
    </row>
    <row r="201" spans="1:10" s="31" customFormat="1" ht="24.95" customHeight="1" x14ac:dyDescent="0.2">
      <c r="A201" s="127"/>
      <c r="B201" s="39"/>
      <c r="C201" s="39"/>
      <c r="D201" s="51" t="s">
        <v>105</v>
      </c>
      <c r="E201" s="52" t="s">
        <v>106</v>
      </c>
      <c r="F201" s="39"/>
      <c r="G201" s="39"/>
      <c r="H201" s="39"/>
      <c r="I201" s="39"/>
      <c r="J201" s="128"/>
    </row>
    <row r="202" spans="1:10" x14ac:dyDescent="0.2">
      <c r="A202" s="106"/>
      <c r="B202" s="21"/>
      <c r="C202" s="174" t="s">
        <v>79</v>
      </c>
      <c r="D202" s="40"/>
      <c r="F202" s="40"/>
      <c r="H202" s="21"/>
      <c r="J202" s="105"/>
    </row>
    <row r="203" spans="1:10" ht="13.5" thickBot="1" x14ac:dyDescent="0.25">
      <c r="A203" s="106"/>
      <c r="B203" s="21"/>
      <c r="C203" s="174"/>
      <c r="D203" s="41"/>
      <c r="E203" s="32"/>
      <c r="F203" s="40"/>
      <c r="H203" s="21"/>
      <c r="J203" s="105"/>
    </row>
    <row r="204" spans="1:10" x14ac:dyDescent="0.2">
      <c r="A204" s="106"/>
      <c r="B204" s="21"/>
      <c r="C204" s="46"/>
      <c r="D204" s="21"/>
      <c r="F204" s="21"/>
      <c r="H204" s="21"/>
      <c r="J204" s="105"/>
    </row>
    <row r="205" spans="1:10" x14ac:dyDescent="0.2">
      <c r="A205" s="106"/>
      <c r="B205" s="21"/>
      <c r="C205" s="46"/>
      <c r="D205" s="172" t="s">
        <v>81</v>
      </c>
      <c r="E205" s="172"/>
      <c r="F205" s="21"/>
      <c r="H205" s="21"/>
      <c r="J205" s="105"/>
    </row>
    <row r="206" spans="1:10" ht="13.5" thickBot="1" x14ac:dyDescent="0.25">
      <c r="A206" s="106"/>
      <c r="B206" s="21"/>
      <c r="C206" s="21"/>
      <c r="D206" s="21"/>
      <c r="J206" s="105"/>
    </row>
    <row r="207" spans="1:10" x14ac:dyDescent="0.2">
      <c r="A207" s="106"/>
      <c r="B207" s="21"/>
      <c r="C207" s="21"/>
      <c r="D207" s="44"/>
      <c r="E207" s="42"/>
      <c r="F207" s="175" t="s">
        <v>100</v>
      </c>
      <c r="I207" s="46"/>
      <c r="J207" s="105"/>
    </row>
    <row r="208" spans="1:10" x14ac:dyDescent="0.2">
      <c r="A208" s="106"/>
      <c r="B208" s="21"/>
      <c r="C208" s="21"/>
      <c r="D208" s="47" t="s">
        <v>101</v>
      </c>
      <c r="E208" s="48" t="s">
        <v>103</v>
      </c>
      <c r="F208" s="175"/>
      <c r="I208" s="46"/>
      <c r="J208" s="105"/>
    </row>
    <row r="209" spans="1:10" x14ac:dyDescent="0.2">
      <c r="A209" s="106"/>
      <c r="B209" s="21"/>
      <c r="C209" s="33" t="s">
        <v>76</v>
      </c>
      <c r="D209" s="47"/>
      <c r="E209" s="48"/>
      <c r="F209" s="175"/>
      <c r="I209" s="46"/>
      <c r="J209" s="105"/>
    </row>
    <row r="210" spans="1:10" x14ac:dyDescent="0.2">
      <c r="A210" s="106"/>
      <c r="B210" s="21"/>
      <c r="C210" t="s">
        <v>77</v>
      </c>
      <c r="D210" s="49"/>
      <c r="E210" s="50"/>
      <c r="F210" s="175"/>
      <c r="I210" s="46"/>
      <c r="J210" s="105"/>
    </row>
    <row r="211" spans="1:10" x14ac:dyDescent="0.2">
      <c r="A211" s="106"/>
      <c r="B211" s="21"/>
      <c r="C211" s="21"/>
      <c r="D211" s="47" t="s">
        <v>102</v>
      </c>
      <c r="E211" s="48" t="s">
        <v>104</v>
      </c>
      <c r="F211" s="175"/>
      <c r="I211" s="46"/>
      <c r="J211" s="105"/>
    </row>
    <row r="212" spans="1:10" ht="13.5" thickBot="1" x14ac:dyDescent="0.25">
      <c r="A212" s="106"/>
      <c r="B212" s="21"/>
      <c r="C212" s="21"/>
      <c r="D212" s="45"/>
      <c r="E212" s="43"/>
      <c r="F212" s="175"/>
      <c r="I212" s="46"/>
      <c r="J212" s="105"/>
    </row>
    <row r="213" spans="1:10" x14ac:dyDescent="0.2">
      <c r="A213" s="106"/>
      <c r="B213" s="83"/>
      <c r="C213" s="83"/>
      <c r="D213" s="165" t="s">
        <v>80</v>
      </c>
      <c r="E213" s="165"/>
      <c r="F213" s="83"/>
      <c r="G213" s="83"/>
      <c r="H213" s="83"/>
      <c r="I213" s="83"/>
      <c r="J213" s="105"/>
    </row>
    <row r="214" spans="1:10" x14ac:dyDescent="0.2">
      <c r="A214" s="106"/>
      <c r="B214" s="83"/>
      <c r="C214" s="83"/>
      <c r="D214" s="172" t="s">
        <v>78</v>
      </c>
      <c r="E214" s="172"/>
      <c r="F214" s="83"/>
      <c r="G214" s="83"/>
      <c r="H214" s="83"/>
      <c r="I214" s="83"/>
      <c r="J214" s="105"/>
    </row>
    <row r="215" spans="1:10" hidden="1" x14ac:dyDescent="0.2">
      <c r="A215" s="106" t="s">
        <v>111</v>
      </c>
      <c r="B215" s="21"/>
      <c r="C215" s="21"/>
      <c r="D215" s="21"/>
      <c r="J215" s="105"/>
    </row>
    <row r="216" spans="1:10" ht="14.25" hidden="1" x14ac:dyDescent="0.2">
      <c r="A216" s="129" t="s">
        <v>69</v>
      </c>
      <c r="B216" s="171" t="s">
        <v>109</v>
      </c>
      <c r="C216" s="171"/>
      <c r="D216" s="171" t="s">
        <v>110</v>
      </c>
      <c r="E216" s="171"/>
      <c r="J216" s="105"/>
    </row>
    <row r="217" spans="1:10" hidden="1" x14ac:dyDescent="0.2">
      <c r="A217" s="130" t="s">
        <v>70</v>
      </c>
      <c r="B217" s="82" t="s">
        <v>105</v>
      </c>
      <c r="C217" s="82" t="s">
        <v>106</v>
      </c>
      <c r="D217" s="82" t="s">
        <v>107</v>
      </c>
      <c r="E217" s="82" t="s">
        <v>108</v>
      </c>
      <c r="J217" s="105"/>
    </row>
    <row r="218" spans="1:10" hidden="1" x14ac:dyDescent="0.2">
      <c r="A218" s="131">
        <v>0</v>
      </c>
      <c r="B218" s="53">
        <v>-0.8</v>
      </c>
      <c r="C218" s="53">
        <v>-0.4</v>
      </c>
      <c r="D218" s="53">
        <v>-0.8</v>
      </c>
      <c r="E218" s="53">
        <v>-0.4</v>
      </c>
      <c r="J218" s="105"/>
    </row>
    <row r="219" spans="1:10" hidden="1" x14ac:dyDescent="0.2">
      <c r="A219" s="131">
        <v>5</v>
      </c>
      <c r="B219" s="23">
        <v>-0.9</v>
      </c>
      <c r="C219" s="23">
        <v>-0.4</v>
      </c>
      <c r="D219" s="23">
        <v>-0.8</v>
      </c>
      <c r="E219" s="23">
        <v>-0.4</v>
      </c>
      <c r="J219" s="105"/>
    </row>
    <row r="220" spans="1:10" hidden="1" x14ac:dyDescent="0.2">
      <c r="A220" s="131">
        <v>10</v>
      </c>
      <c r="B220" s="23">
        <v>-1.2</v>
      </c>
      <c r="C220" s="23">
        <v>-0.4</v>
      </c>
      <c r="D220" s="23">
        <v>-0.8</v>
      </c>
      <c r="E220" s="23">
        <v>-0.6</v>
      </c>
      <c r="J220" s="105"/>
    </row>
    <row r="221" spans="1:10" hidden="1" x14ac:dyDescent="0.2">
      <c r="A221" s="132">
        <v>15</v>
      </c>
      <c r="B221" s="25">
        <f>B220+(B222-B220)*($A221-$A220)/($A222-$A220)</f>
        <v>-0.8</v>
      </c>
      <c r="C221" s="25">
        <f>C220+(C222-C220)*($A221-$A220)/($A222-$A220)</f>
        <v>-0.4</v>
      </c>
      <c r="D221" s="25">
        <f>D220+(D222-D220)*($A221-$A220)/($A222-$A220)</f>
        <v>-0.75</v>
      </c>
      <c r="E221" s="25">
        <f>E220+(E222-E220)*($A221-$A220)/($A222-$A220)</f>
        <v>-0.6</v>
      </c>
      <c r="J221" s="105"/>
    </row>
    <row r="222" spans="1:10" hidden="1" x14ac:dyDescent="0.2">
      <c r="A222" s="131">
        <v>20</v>
      </c>
      <c r="B222" s="23">
        <v>-0.4</v>
      </c>
      <c r="C222" s="23">
        <v>-0.4</v>
      </c>
      <c r="D222" s="23">
        <v>-0.7</v>
      </c>
      <c r="E222" s="23">
        <v>-0.6</v>
      </c>
      <c r="J222" s="105"/>
    </row>
    <row r="223" spans="1:10" hidden="1" x14ac:dyDescent="0.2">
      <c r="A223" s="132">
        <v>25</v>
      </c>
      <c r="B223" s="25">
        <f>B222+(B224-B222)*($A223-$A222)/($A224-$A222)</f>
        <v>-0.2</v>
      </c>
      <c r="C223" s="25">
        <f>C222+(C224-C222)*($A223-$A222)/($A224-$A222)</f>
        <v>-0.4</v>
      </c>
      <c r="D223" s="25">
        <f>D222+(D224-D222)*($A223-$A222)/($A224-$A222)</f>
        <v>-0.7</v>
      </c>
      <c r="E223" s="25">
        <f>E222+(E224-E222)*($A223-$A222)/($A224-$A222)</f>
        <v>-0.6</v>
      </c>
      <c r="J223" s="105"/>
    </row>
    <row r="224" spans="1:10" hidden="1" x14ac:dyDescent="0.2">
      <c r="A224" s="131">
        <v>30</v>
      </c>
      <c r="B224" s="23">
        <v>0</v>
      </c>
      <c r="C224" s="23">
        <v>-0.4</v>
      </c>
      <c r="D224" s="23">
        <v>-0.7</v>
      </c>
      <c r="E224" s="23">
        <v>-0.6</v>
      </c>
      <c r="J224" s="105"/>
    </row>
    <row r="225" spans="1:10" hidden="1" x14ac:dyDescent="0.2">
      <c r="A225" s="132">
        <v>35</v>
      </c>
      <c r="B225" s="25">
        <f>B224+(B227-B224)*($A225-$A224)/($A227-$A224)</f>
        <v>0.1</v>
      </c>
      <c r="C225" s="25">
        <f>C224+(C227-C224)*($A225-$A224)/($A227-$A224)</f>
        <v>-0.43333333333333335</v>
      </c>
      <c r="D225" s="25">
        <f>D224+(D227-D224)*($A225-$A224)/($A227-$A224)</f>
        <v>-0.7</v>
      </c>
      <c r="E225" s="25">
        <f>E224+(E227-E224)*($A225-$A224)/($A227-$A224)</f>
        <v>-0.6</v>
      </c>
      <c r="J225" s="105"/>
    </row>
    <row r="226" spans="1:10" hidden="1" x14ac:dyDescent="0.2">
      <c r="A226" s="132">
        <v>40</v>
      </c>
      <c r="B226" s="25">
        <f>B224+(B227-B224)*($A226-$A224)/($A227-$A224)</f>
        <v>0.2</v>
      </c>
      <c r="C226" s="25">
        <f>C224+(C227-C224)*($A226-$A224)/($A227-$A224)</f>
        <v>-0.46666666666666667</v>
      </c>
      <c r="D226" s="25">
        <f>D224+(D227-D224)*($A226-$A224)/($A227-$A224)</f>
        <v>-0.7</v>
      </c>
      <c r="E226" s="25">
        <f>E224+(E227-E224)*($A226-$A224)/($A227-$A224)</f>
        <v>-0.6</v>
      </c>
      <c r="J226" s="105"/>
    </row>
    <row r="227" spans="1:10" hidden="1" x14ac:dyDescent="0.2">
      <c r="A227" s="131">
        <v>45</v>
      </c>
      <c r="B227" s="23">
        <v>0.3</v>
      </c>
      <c r="C227" s="23">
        <v>-0.5</v>
      </c>
      <c r="D227" s="23">
        <v>-0.7</v>
      </c>
      <c r="E227" s="23">
        <v>-0.6</v>
      </c>
      <c r="J227" s="105"/>
    </row>
    <row r="228" spans="1:10" hidden="1" x14ac:dyDescent="0.2">
      <c r="A228" s="120"/>
      <c r="B228" s="27"/>
      <c r="C228" s="27"/>
      <c r="D228" s="27"/>
      <c r="E228" s="27"/>
      <c r="F228" s="5"/>
      <c r="G228" s="27"/>
      <c r="H228" s="27"/>
      <c r="I228" s="27"/>
      <c r="J228" s="105"/>
    </row>
    <row r="229" spans="1:10" hidden="1" x14ac:dyDescent="0.2">
      <c r="A229" s="106" t="s">
        <v>112</v>
      </c>
      <c r="E229" s="27"/>
      <c r="F229" s="5"/>
      <c r="G229" s="27"/>
      <c r="H229" s="27"/>
      <c r="I229" s="27"/>
      <c r="J229" s="105"/>
    </row>
    <row r="230" spans="1:10" ht="14.25" hidden="1" x14ac:dyDescent="0.2">
      <c r="A230" s="129" t="s">
        <v>69</v>
      </c>
      <c r="B230" s="166" t="s">
        <v>109</v>
      </c>
      <c r="C230" s="164"/>
      <c r="D230" s="171" t="s">
        <v>110</v>
      </c>
      <c r="E230" s="171"/>
      <c r="I230" s="27"/>
      <c r="J230" s="105"/>
    </row>
    <row r="231" spans="1:10" hidden="1" x14ac:dyDescent="0.2">
      <c r="A231" s="130" t="s">
        <v>70</v>
      </c>
      <c r="B231" s="82" t="s">
        <v>105</v>
      </c>
      <c r="C231" s="82" t="s">
        <v>106</v>
      </c>
      <c r="D231" s="82" t="s">
        <v>107</v>
      </c>
      <c r="E231" s="82" t="s">
        <v>108</v>
      </c>
      <c r="I231" s="27"/>
      <c r="J231" s="105"/>
    </row>
    <row r="232" spans="1:10" hidden="1" x14ac:dyDescent="0.2">
      <c r="A232" s="133">
        <v>0</v>
      </c>
      <c r="B232" s="24">
        <v>-0.8</v>
      </c>
      <c r="C232" s="53">
        <v>-0.6</v>
      </c>
      <c r="D232" s="53">
        <v>-1</v>
      </c>
      <c r="E232" s="53">
        <v>-0.6</v>
      </c>
      <c r="I232" s="27"/>
      <c r="J232" s="105"/>
    </row>
    <row r="233" spans="1:10" hidden="1" x14ac:dyDescent="0.2">
      <c r="A233" s="133">
        <v>5</v>
      </c>
      <c r="B233" s="24">
        <v>-0.9</v>
      </c>
      <c r="C233" s="23">
        <v>-0.6</v>
      </c>
      <c r="D233" s="23">
        <v>-0.9</v>
      </c>
      <c r="E233" s="23">
        <v>-0.6</v>
      </c>
      <c r="I233" s="27"/>
      <c r="J233" s="105"/>
    </row>
    <row r="234" spans="1:10" hidden="1" x14ac:dyDescent="0.2">
      <c r="A234" s="133">
        <v>10</v>
      </c>
      <c r="B234" s="24">
        <v>-1.1000000000000001</v>
      </c>
      <c r="C234" s="23">
        <v>-0.6</v>
      </c>
      <c r="D234" s="23">
        <v>-0.8</v>
      </c>
      <c r="E234" s="23">
        <v>-0.6</v>
      </c>
      <c r="I234" s="27"/>
      <c r="J234" s="105"/>
    </row>
    <row r="235" spans="1:10" hidden="1" x14ac:dyDescent="0.2">
      <c r="A235" s="134">
        <v>15</v>
      </c>
      <c r="B235" s="25">
        <f>B234+(B236-B234)*($A235-$A234)/($A236-$A234)</f>
        <v>-0.9</v>
      </c>
      <c r="C235" s="25">
        <f>C234+(C236-C234)*($A235-$A234)/($A236-$A234)</f>
        <v>-0.55000000000000004</v>
      </c>
      <c r="D235" s="25">
        <f>D234+(D236-D234)*($A235-$A234)/($A236-$A234)</f>
        <v>-0.8</v>
      </c>
      <c r="E235" s="25">
        <f>E234+(E236-E234)*($A235-$A234)/($A236-$A234)</f>
        <v>-0.6</v>
      </c>
      <c r="I235" s="27"/>
      <c r="J235" s="105"/>
    </row>
    <row r="236" spans="1:10" hidden="1" x14ac:dyDescent="0.2">
      <c r="A236" s="133">
        <v>20</v>
      </c>
      <c r="B236" s="24">
        <v>-0.7</v>
      </c>
      <c r="C236" s="23">
        <v>-0.5</v>
      </c>
      <c r="D236" s="23">
        <v>-0.8</v>
      </c>
      <c r="E236" s="53">
        <v>-0.6</v>
      </c>
      <c r="I236" s="27"/>
      <c r="J236" s="105"/>
    </row>
    <row r="237" spans="1:10" hidden="1" x14ac:dyDescent="0.2">
      <c r="A237" s="134">
        <v>25</v>
      </c>
      <c r="B237" s="25">
        <f>B236+(B238-B236)*($A237-$A236)/($A238-$A236)</f>
        <v>-0.45</v>
      </c>
      <c r="C237" s="25">
        <f>C236+(C238-C236)*($A237-$A236)/($A238-$A236)</f>
        <v>-0.5</v>
      </c>
      <c r="D237" s="25">
        <f>D236+(D238-D236)*($A237-$A236)/($A238-$A236)</f>
        <v>-0.8</v>
      </c>
      <c r="E237" s="25">
        <f>E236+(E238-E236)*($A237-$A236)/($A238-$A236)</f>
        <v>-0.70000000000000007</v>
      </c>
      <c r="I237" s="27"/>
      <c r="J237" s="105"/>
    </row>
    <row r="238" spans="1:10" hidden="1" x14ac:dyDescent="0.2">
      <c r="A238" s="133">
        <v>30</v>
      </c>
      <c r="B238" s="24">
        <v>-0.2</v>
      </c>
      <c r="C238" s="23">
        <v>-0.5</v>
      </c>
      <c r="D238" s="23">
        <v>-0.8</v>
      </c>
      <c r="E238" s="23">
        <v>-0.8</v>
      </c>
      <c r="I238" s="27"/>
      <c r="J238" s="105"/>
    </row>
    <row r="239" spans="1:10" hidden="1" x14ac:dyDescent="0.2">
      <c r="A239" s="134">
        <v>35</v>
      </c>
      <c r="B239" s="25">
        <f>B238+(B241-B238)*($A239-$A238)/($A241-$A238)</f>
        <v>-6.666666666666668E-2</v>
      </c>
      <c r="C239" s="25">
        <f>C238+(C241-C238)*($A239-$A238)/($A241-$A238)</f>
        <v>-0.5</v>
      </c>
      <c r="D239" s="25">
        <f>D238+(D241-D238)*($A239-$A238)/($A241-$A238)</f>
        <v>-0.8</v>
      </c>
      <c r="E239" s="25">
        <f>E238+(E241-E238)*($A239-$A238)/($A241-$A238)</f>
        <v>-0.8</v>
      </c>
      <c r="I239" s="27"/>
      <c r="J239" s="105"/>
    </row>
    <row r="240" spans="1:10" hidden="1" x14ac:dyDescent="0.2">
      <c r="A240" s="134">
        <v>40</v>
      </c>
      <c r="B240" s="25">
        <f>B238+(B241-B238)*($A240-$A238)/($A241-$A238)</f>
        <v>6.6666666666666652E-2</v>
      </c>
      <c r="C240" s="25">
        <f>C238+(C241-C238)*($A240-$A238)/($A241-$A238)</f>
        <v>-0.5</v>
      </c>
      <c r="D240" s="25">
        <f>D238+(D241-D238)*($A240-$A238)/($A241-$A238)</f>
        <v>-0.8</v>
      </c>
      <c r="E240" s="25">
        <f>E238+(E241-E238)*($A240-$A238)/($A241-$A238)</f>
        <v>-0.8</v>
      </c>
      <c r="I240" s="27"/>
      <c r="J240" s="105"/>
    </row>
    <row r="241" spans="1:10" hidden="1" x14ac:dyDescent="0.2">
      <c r="A241" s="133">
        <v>45</v>
      </c>
      <c r="B241" s="24">
        <v>0.2</v>
      </c>
      <c r="C241" s="23">
        <v>-0.5</v>
      </c>
      <c r="D241" s="23">
        <v>-0.8</v>
      </c>
      <c r="E241" s="23">
        <v>-0.8</v>
      </c>
      <c r="I241" s="27"/>
      <c r="J241" s="105"/>
    </row>
    <row r="242" spans="1:10" hidden="1" x14ac:dyDescent="0.2">
      <c r="A242" s="120"/>
      <c r="B242" s="27"/>
      <c r="C242" s="27"/>
      <c r="D242" s="27"/>
      <c r="E242" s="27"/>
      <c r="F242" s="5"/>
      <c r="G242" s="27"/>
      <c r="H242" s="27"/>
      <c r="I242" s="27"/>
      <c r="J242" s="105"/>
    </row>
    <row r="243" spans="1:10" hidden="1" x14ac:dyDescent="0.2">
      <c r="A243" s="106" t="s">
        <v>113</v>
      </c>
      <c r="J243" s="105"/>
    </row>
    <row r="244" spans="1:10" ht="14.25" hidden="1" x14ac:dyDescent="0.2">
      <c r="A244" s="129" t="s">
        <v>69</v>
      </c>
      <c r="B244" s="171" t="s">
        <v>109</v>
      </c>
      <c r="C244" s="171"/>
      <c r="D244" s="171" t="s">
        <v>110</v>
      </c>
      <c r="E244" s="171"/>
      <c r="J244" s="105"/>
    </row>
    <row r="245" spans="1:10" hidden="1" x14ac:dyDescent="0.2">
      <c r="A245" s="130" t="s">
        <v>70</v>
      </c>
      <c r="B245" s="82" t="s">
        <v>105</v>
      </c>
      <c r="C245" s="82" t="s">
        <v>106</v>
      </c>
      <c r="D245" s="82" t="s">
        <v>107</v>
      </c>
      <c r="E245" s="82" t="s">
        <v>108</v>
      </c>
      <c r="J245" s="105"/>
    </row>
    <row r="246" spans="1:10" hidden="1" x14ac:dyDescent="0.2">
      <c r="A246" s="133">
        <v>0</v>
      </c>
      <c r="B246" s="24">
        <v>-0.7</v>
      </c>
      <c r="C246" s="53">
        <v>-0.6</v>
      </c>
      <c r="D246" s="53">
        <v>-0.9</v>
      </c>
      <c r="E246" s="53">
        <v>-0.7</v>
      </c>
      <c r="J246" s="105"/>
    </row>
    <row r="247" spans="1:10" hidden="1" x14ac:dyDescent="0.2">
      <c r="A247" s="133">
        <v>5</v>
      </c>
      <c r="B247" s="24">
        <v>-0.7</v>
      </c>
      <c r="C247" s="23">
        <v>-0.6</v>
      </c>
      <c r="D247" s="23">
        <v>-0.8</v>
      </c>
      <c r="E247" s="23">
        <v>-0.8</v>
      </c>
      <c r="J247" s="105"/>
    </row>
    <row r="248" spans="1:10" hidden="1" x14ac:dyDescent="0.2">
      <c r="A248" s="133">
        <v>10</v>
      </c>
      <c r="B248" s="24">
        <v>-0.7</v>
      </c>
      <c r="C248" s="23">
        <v>-0.6</v>
      </c>
      <c r="D248" s="23">
        <v>-0.8</v>
      </c>
      <c r="E248" s="23">
        <v>-0.8</v>
      </c>
      <c r="J248" s="105"/>
    </row>
    <row r="249" spans="1:10" hidden="1" x14ac:dyDescent="0.2">
      <c r="A249" s="134">
        <v>15</v>
      </c>
      <c r="B249" s="25">
        <f>B248+(B250-B248)*($A249-$A248)/($A250-$A248)</f>
        <v>-0.75</v>
      </c>
      <c r="C249" s="25">
        <f>C248+(C250-C248)*($A249-$A248)/($A250-$A248)</f>
        <v>-0.6</v>
      </c>
      <c r="D249" s="25">
        <f>D248+(D250-D248)*($A249-$A248)/($A250-$A248)</f>
        <v>-0.8</v>
      </c>
      <c r="E249" s="25">
        <f>E248+(E250-E248)*($A249-$A248)/($A250-$A248)</f>
        <v>-0.8</v>
      </c>
      <c r="J249" s="105"/>
    </row>
    <row r="250" spans="1:10" hidden="1" x14ac:dyDescent="0.2">
      <c r="A250" s="133">
        <v>20</v>
      </c>
      <c r="B250" s="24">
        <v>-0.8</v>
      </c>
      <c r="C250" s="23">
        <v>-0.6</v>
      </c>
      <c r="D250" s="23">
        <v>-0.8</v>
      </c>
      <c r="E250" s="53">
        <v>-0.8</v>
      </c>
      <c r="J250" s="105"/>
    </row>
    <row r="251" spans="1:10" hidden="1" x14ac:dyDescent="0.2">
      <c r="A251" s="134">
        <v>25</v>
      </c>
      <c r="B251" s="25">
        <f>B250+(B252-B250)*($A251-$A250)/($A252-$A250)</f>
        <v>-0.9</v>
      </c>
      <c r="C251" s="25">
        <f>C250+(C252-C250)*($A251-$A250)/($A252-$A250)</f>
        <v>-0.55000000000000004</v>
      </c>
      <c r="D251" s="25">
        <f>D250+(D252-D250)*($A251-$A250)/($A252-$A250)</f>
        <v>-0.8</v>
      </c>
      <c r="E251" s="25">
        <f>E250+(E252-E250)*($A251-$A250)/($A252-$A250)</f>
        <v>-0.75</v>
      </c>
      <c r="J251" s="105"/>
    </row>
    <row r="252" spans="1:10" hidden="1" x14ac:dyDescent="0.2">
      <c r="A252" s="133">
        <v>30</v>
      </c>
      <c r="B252" s="24">
        <v>-1</v>
      </c>
      <c r="C252" s="23">
        <v>-0.5</v>
      </c>
      <c r="D252" s="23">
        <v>-0.8</v>
      </c>
      <c r="E252" s="23">
        <v>-0.7</v>
      </c>
      <c r="J252" s="105"/>
    </row>
    <row r="253" spans="1:10" hidden="1" x14ac:dyDescent="0.2">
      <c r="A253" s="134">
        <v>35</v>
      </c>
      <c r="B253" s="25">
        <f>B252+(B254-B252)*($A253-$A252)/($A254-$A252)</f>
        <v>-0.6</v>
      </c>
      <c r="C253" s="25">
        <f>C252+(C254-C252)*($A253-$A252)/($A254-$A252)</f>
        <v>-0.5</v>
      </c>
      <c r="D253" s="25">
        <f>D252+(D254-D252)*($A253-$A252)/($A254-$A252)</f>
        <v>-0.8</v>
      </c>
      <c r="E253" s="25">
        <f>E252+(E254-E252)*($A253-$A252)/($A254-$A252)</f>
        <v>-0.7</v>
      </c>
      <c r="J253" s="105"/>
    </row>
    <row r="254" spans="1:10" hidden="1" x14ac:dyDescent="0.2">
      <c r="A254" s="133">
        <v>40</v>
      </c>
      <c r="B254" s="23">
        <v>-0.2</v>
      </c>
      <c r="C254" s="23">
        <v>-0.5</v>
      </c>
      <c r="D254" s="23">
        <f>D252+(D255-D252)*($B240-$B238)/($B241-$B238)</f>
        <v>-0.8</v>
      </c>
      <c r="E254" s="23">
        <v>-0.7</v>
      </c>
      <c r="J254" s="105"/>
    </row>
    <row r="255" spans="1:10" hidden="1" x14ac:dyDescent="0.2">
      <c r="A255" s="134">
        <v>45</v>
      </c>
      <c r="B255" s="6">
        <v>0</v>
      </c>
      <c r="C255" s="25">
        <v>-0.5</v>
      </c>
      <c r="D255" s="25">
        <v>-0.8</v>
      </c>
      <c r="E255" s="25">
        <v>-0.7</v>
      </c>
      <c r="J255" s="105"/>
    </row>
    <row r="256" spans="1:10" hidden="1" x14ac:dyDescent="0.2">
      <c r="A256" s="120"/>
      <c r="B256" s="27"/>
      <c r="C256" s="27"/>
      <c r="D256" s="27"/>
      <c r="E256" s="27"/>
      <c r="F256" s="5"/>
      <c r="G256" s="27"/>
      <c r="H256" s="27"/>
      <c r="I256" s="27"/>
      <c r="J256" s="105"/>
    </row>
    <row r="257" spans="1:10" x14ac:dyDescent="0.2">
      <c r="A257" s="120" t="s">
        <v>116</v>
      </c>
      <c r="D257" s="21"/>
      <c r="F257" s="1">
        <f>INT(F198/5)*5</f>
        <v>5</v>
      </c>
      <c r="J257" s="105"/>
    </row>
    <row r="258" spans="1:10" x14ac:dyDescent="0.2">
      <c r="A258" s="120" t="s">
        <v>117</v>
      </c>
      <c r="D258" s="21"/>
      <c r="F258" s="1">
        <f>CEILING(F198,5)</f>
        <v>10</v>
      </c>
      <c r="J258" s="105"/>
    </row>
    <row r="259" spans="1:10" x14ac:dyDescent="0.2">
      <c r="A259" s="120"/>
      <c r="B259" s="1"/>
      <c r="C259" s="21"/>
      <c r="D259" s="21"/>
      <c r="J259" s="105"/>
    </row>
    <row r="260" spans="1:10" ht="14.25" x14ac:dyDescent="0.2">
      <c r="A260" s="106"/>
      <c r="C260" s="29" t="s">
        <v>69</v>
      </c>
      <c r="D260" s="166" t="s">
        <v>109</v>
      </c>
      <c r="E260" s="164"/>
      <c r="F260" s="171" t="s">
        <v>110</v>
      </c>
      <c r="G260" s="171"/>
      <c r="H260" s="163" t="s">
        <v>236</v>
      </c>
      <c r="I260" s="164"/>
      <c r="J260" s="105"/>
    </row>
    <row r="261" spans="1:10" x14ac:dyDescent="0.2">
      <c r="A261" s="106"/>
      <c r="C261" s="30" t="s">
        <v>70</v>
      </c>
      <c r="D261" s="82" t="s">
        <v>105</v>
      </c>
      <c r="E261" s="82" t="s">
        <v>106</v>
      </c>
      <c r="F261" s="82" t="s">
        <v>107</v>
      </c>
      <c r="G261" s="82" t="s">
        <v>108</v>
      </c>
      <c r="J261" s="105"/>
    </row>
    <row r="262" spans="1:10" x14ac:dyDescent="0.2">
      <c r="A262" s="106"/>
      <c r="C262" s="26">
        <f>F257</f>
        <v>5</v>
      </c>
      <c r="D262" s="25">
        <f>VLOOKUP($C262,IF($F$161&lt;=0.5,$A$218:$E$227,IF($F$161&lt;=1.5,$A$232:$E$241,IF($F$161&lt;6,$A$246:$E$255,"Out of Range"))),2)</f>
        <v>-0.9</v>
      </c>
      <c r="E262" s="25">
        <f>VLOOKUP($C262,IF($F$161&lt;=0.5,$A$218:$E$227,IF($F$161&lt;=1.5,$A$232:$E$241,IF($F$161&lt;6,$A$246:$E$255,"Out of Range"))),3)</f>
        <v>-0.6</v>
      </c>
      <c r="F262" s="25">
        <f>VLOOKUP($C262,IF($F$161&lt;=0.5,$A$218:$E$227,IF($F$161&lt;=1.5,$A$232:$E$241,IF($F$161&lt;6,$A$246:$E$255,"Out of Range"))),4)</f>
        <v>-0.9</v>
      </c>
      <c r="G262" s="25">
        <f>VLOOKUP($C262,IF($F$161&lt;=0.5,$A$218:$E$227,IF($F$161&lt;=1.5,$A$232:$E$241,IF($F$161&lt;6,$A$246:$E$255,"Out of Range"))),5)</f>
        <v>-0.6</v>
      </c>
      <c r="J262" s="105"/>
    </row>
    <row r="263" spans="1:10" x14ac:dyDescent="0.2">
      <c r="A263" s="106"/>
      <c r="C263" s="26">
        <f>F258</f>
        <v>10</v>
      </c>
      <c r="D263" s="25">
        <f>VLOOKUP($C263,IF($F$161&lt;=0.5,$A$218:$E$227,IF($F$161&lt;=1.5,$A$232:$E$241,IF($F$161&lt;6,$A$246:$E$255,"Out of Range"))),2)</f>
        <v>-1.1000000000000001</v>
      </c>
      <c r="E263" s="25">
        <f>VLOOKUP($C263,IF($F$161&lt;=0.5,$A$218:$E$227,IF($F$161&lt;=1.5,$A$232:$E$241,IF($F$161&lt;6,$A$246:$E$255,"Out of Range"))),3)</f>
        <v>-0.6</v>
      </c>
      <c r="F263" s="25">
        <f>VLOOKUP($C263,IF($F$161&lt;=0.5,$A$218:$E$227,IF($F$161&lt;=1.5,$A$232:$E$241,IF($F$161&lt;6,$A$246:$E$255,"Out of Range"))),4)</f>
        <v>-0.8</v>
      </c>
      <c r="G263" s="25">
        <f>VLOOKUP($C263,IF($F$161&lt;=0.5,$A$218:$E$227,IF($F$161&lt;=1.5,$A$232:$E$241,IF($F$161&lt;6,$A$246:$E$255,"Out of Range"))),5)</f>
        <v>-0.6</v>
      </c>
      <c r="J263" s="105"/>
    </row>
    <row r="264" spans="1:10" x14ac:dyDescent="0.2">
      <c r="A264" s="106"/>
      <c r="C264" s="23">
        <f>F198</f>
        <v>5.710593137499643</v>
      </c>
      <c r="D264" s="81">
        <f>D262+(D263-D262)*($C264-$C262)/($C263-$C262)</f>
        <v>-0.92842372549998575</v>
      </c>
      <c r="E264" s="81">
        <f>E262+(E263-E262)*($C264-$C262)/($C263-$C262)</f>
        <v>-0.6</v>
      </c>
      <c r="F264" s="81">
        <f>F262+(F263-F262)*($C264-$C262)/($C263-$C262)</f>
        <v>-0.88578813725000716</v>
      </c>
      <c r="G264" s="81">
        <f>G262+(G263-G262)*($C264-$C262)/($C263-$C262)</f>
        <v>-0.6</v>
      </c>
      <c r="J264" s="105"/>
    </row>
    <row r="265" spans="1:10" x14ac:dyDescent="0.2">
      <c r="A265" s="120"/>
      <c r="B265" s="21"/>
      <c r="C265" s="21"/>
      <c r="D265" s="21"/>
      <c r="J265" s="105"/>
    </row>
    <row r="266" spans="1:10" x14ac:dyDescent="0.2">
      <c r="A266" s="120" t="s">
        <v>98</v>
      </c>
      <c r="B266" s="21"/>
      <c r="C266" s="21"/>
      <c r="D266" s="21"/>
      <c r="E266" s="21"/>
      <c r="F266" s="21"/>
      <c r="G266" s="21"/>
      <c r="H266" s="21"/>
      <c r="I266" s="21"/>
      <c r="J266" s="105"/>
    </row>
    <row r="267" spans="1:10" x14ac:dyDescent="0.2">
      <c r="A267" s="120"/>
      <c r="B267" s="21"/>
      <c r="C267" s="21"/>
      <c r="D267" s="21"/>
      <c r="J267" s="105"/>
    </row>
    <row r="268" spans="1:10" x14ac:dyDescent="0.2">
      <c r="A268" s="120" t="s">
        <v>82</v>
      </c>
      <c r="B268" s="21"/>
      <c r="C268" s="21"/>
      <c r="D268" s="21"/>
      <c r="J268" s="105"/>
    </row>
    <row r="269" spans="1:10" x14ac:dyDescent="0.2">
      <c r="A269" s="120"/>
      <c r="B269" s="21"/>
      <c r="C269" s="21"/>
      <c r="D269" s="21"/>
      <c r="J269" s="105"/>
    </row>
    <row r="270" spans="1:10" x14ac:dyDescent="0.2">
      <c r="A270" s="103" t="s">
        <v>121</v>
      </c>
      <c r="F270" s="112">
        <f>IF(I8="&lt;5%",0.2,IF(I8="5-20%",0.5,0.7))</f>
        <v>0.2</v>
      </c>
      <c r="J270" s="105"/>
    </row>
    <row r="271" spans="1:10" x14ac:dyDescent="0.2">
      <c r="A271" s="135" t="s">
        <v>118</v>
      </c>
      <c r="B271" s="8"/>
      <c r="C271" s="8"/>
      <c r="D271" s="8"/>
      <c r="E271" s="8"/>
      <c r="F271" s="4">
        <v>0.2</v>
      </c>
      <c r="J271" s="105"/>
    </row>
    <row r="272" spans="1:10" x14ac:dyDescent="0.2">
      <c r="A272" s="120" t="s">
        <v>119</v>
      </c>
      <c r="F272" s="4">
        <v>0.5</v>
      </c>
      <c r="J272" s="105"/>
    </row>
    <row r="273" spans="1:10" x14ac:dyDescent="0.2">
      <c r="A273" s="136" t="s">
        <v>120</v>
      </c>
      <c r="B273" s="10"/>
      <c r="C273" s="10"/>
      <c r="D273" s="10"/>
      <c r="E273" s="10"/>
      <c r="F273" s="4">
        <v>0.7</v>
      </c>
      <c r="J273" s="105"/>
    </row>
    <row r="274" spans="1:10" x14ac:dyDescent="0.2">
      <c r="A274" s="106"/>
      <c r="F274"/>
      <c r="J274" s="105"/>
    </row>
    <row r="275" spans="1:10" hidden="1" x14ac:dyDescent="0.2">
      <c r="A275" s="106"/>
      <c r="F275"/>
      <c r="J275" s="105"/>
    </row>
    <row r="276" spans="1:10" hidden="1" x14ac:dyDescent="0.2">
      <c r="A276" s="106"/>
      <c r="J276" s="105"/>
    </row>
    <row r="277" spans="1:10" hidden="1" x14ac:dyDescent="0.2">
      <c r="A277" s="106" t="s">
        <v>26</v>
      </c>
      <c r="E277" t="s">
        <v>4</v>
      </c>
      <c r="F277" s="111">
        <v>7.5</v>
      </c>
      <c r="J277" s="105"/>
    </row>
    <row r="278" spans="1:10" hidden="1" x14ac:dyDescent="0.2">
      <c r="A278" s="106" t="s">
        <v>85</v>
      </c>
      <c r="E278" t="s">
        <v>4</v>
      </c>
      <c r="F278" s="111">
        <v>7.5</v>
      </c>
      <c r="J278" s="105"/>
    </row>
    <row r="279" spans="1:10" hidden="1" x14ac:dyDescent="0.2">
      <c r="A279" s="106" t="s">
        <v>22</v>
      </c>
      <c r="D279" t="s">
        <v>96</v>
      </c>
      <c r="E279" t="s">
        <v>21</v>
      </c>
      <c r="F279" s="5">
        <f>$F$270*$F$152*$F$277</f>
        <v>1.1859593484375002</v>
      </c>
      <c r="J279" s="105"/>
    </row>
    <row r="280" spans="1:10" hidden="1" x14ac:dyDescent="0.2">
      <c r="A280" s="106" t="s">
        <v>22</v>
      </c>
      <c r="D280" t="s">
        <v>95</v>
      </c>
      <c r="E280" t="s">
        <v>21</v>
      </c>
      <c r="F280" s="5">
        <f>$F$270*$F$152*$F$278</f>
        <v>1.1859593484375002</v>
      </c>
      <c r="J280" s="105"/>
    </row>
    <row r="281" spans="1:10" hidden="1" x14ac:dyDescent="0.2">
      <c r="A281" s="106"/>
      <c r="J281" s="105"/>
    </row>
    <row r="282" spans="1:10" ht="14.25" hidden="1" x14ac:dyDescent="0.2">
      <c r="A282" s="137" t="s">
        <v>87</v>
      </c>
      <c r="E282" s="4"/>
      <c r="F282" s="178" t="s">
        <v>97</v>
      </c>
      <c r="G282" s="12" t="s">
        <v>23</v>
      </c>
      <c r="H282" s="12"/>
      <c r="J282" s="105"/>
    </row>
    <row r="283" spans="1:10" ht="12.75" hidden="1" customHeight="1" x14ac:dyDescent="0.2">
      <c r="A283" s="106"/>
      <c r="B283" s="138"/>
      <c r="C283" s="138"/>
      <c r="D283" s="138"/>
      <c r="E283" s="4"/>
      <c r="F283" s="179"/>
      <c r="G283" s="13" t="s">
        <v>24</v>
      </c>
      <c r="H283" s="13" t="s">
        <v>25</v>
      </c>
      <c r="J283" s="105"/>
    </row>
    <row r="284" spans="1:10" hidden="1" x14ac:dyDescent="0.2">
      <c r="A284" s="106" t="s">
        <v>83</v>
      </c>
      <c r="E284" s="4" t="s">
        <v>21</v>
      </c>
      <c r="F284" s="6">
        <f>D193*$F$152*$F$277</f>
        <v>4.1508577195312499</v>
      </c>
      <c r="G284" s="7">
        <f>$F284-$F$279</f>
        <v>2.9648983710937498</v>
      </c>
      <c r="H284" s="7">
        <f>$F284+$F$279</f>
        <v>5.3368170679687505</v>
      </c>
      <c r="J284" s="105"/>
    </row>
    <row r="285" spans="1:10" hidden="1" x14ac:dyDescent="0.2">
      <c r="A285" s="106" t="s">
        <v>115</v>
      </c>
      <c r="E285" s="4" t="s">
        <v>21</v>
      </c>
      <c r="F285" s="6">
        <f>D264*$F$152*$F$277</f>
        <v>-5.5053639828393974</v>
      </c>
      <c r="G285" s="7">
        <f>$F285-$F$279</f>
        <v>-6.691323331276898</v>
      </c>
      <c r="H285" s="7">
        <f>$F285+$F$279</f>
        <v>-4.3194046344018968</v>
      </c>
      <c r="J285" s="105"/>
    </row>
    <row r="286" spans="1:10" hidden="1" x14ac:dyDescent="0.2">
      <c r="A286" s="106" t="s">
        <v>114</v>
      </c>
      <c r="E286" s="4" t="s">
        <v>21</v>
      </c>
      <c r="F286" s="6">
        <f>E264*$F$152*$F$277</f>
        <v>-3.5578780453125001</v>
      </c>
      <c r="G286" s="7">
        <f>$F286-$F$279</f>
        <v>-4.7438373937500007</v>
      </c>
      <c r="H286" s="7">
        <f>$F286+$F$279</f>
        <v>-2.3719186968749999</v>
      </c>
      <c r="J286" s="105"/>
    </row>
    <row r="287" spans="1:10" hidden="1" x14ac:dyDescent="0.2">
      <c r="A287" s="106" t="s">
        <v>84</v>
      </c>
      <c r="E287" s="4" t="s">
        <v>21</v>
      </c>
      <c r="F287" s="6">
        <f>E193*$F$152*$F$277</f>
        <v>-1.77893902265625</v>
      </c>
      <c r="G287" s="7">
        <f>$F287-$F$279</f>
        <v>-2.9648983710937502</v>
      </c>
      <c r="H287" s="7">
        <f>$F287+$F$279</f>
        <v>-0.59297967421874986</v>
      </c>
      <c r="J287" s="105"/>
    </row>
    <row r="288" spans="1:10" hidden="1" x14ac:dyDescent="0.2">
      <c r="A288" s="106"/>
      <c r="E288" s="36"/>
      <c r="F288" s="37"/>
      <c r="G288" s="38"/>
      <c r="H288" s="38"/>
      <c r="J288" s="105"/>
    </row>
    <row r="289" spans="1:10" hidden="1" x14ac:dyDescent="0.2">
      <c r="A289" s="106" t="s">
        <v>91</v>
      </c>
      <c r="E289" s="4" t="s">
        <v>21</v>
      </c>
      <c r="F289" s="6">
        <f>F193*$F$152*$F$278</f>
        <v>-4.1508577195312499</v>
      </c>
      <c r="G289" s="7">
        <f>$F289-$F$280</f>
        <v>-5.3368170679687505</v>
      </c>
      <c r="H289" s="7">
        <f>$F289+$F$280</f>
        <v>-2.9648983710937498</v>
      </c>
      <c r="J289" s="105"/>
    </row>
    <row r="290" spans="1:10" hidden="1" x14ac:dyDescent="0.2">
      <c r="A290" s="106" t="s">
        <v>92</v>
      </c>
      <c r="E290" s="4" t="s">
        <v>21</v>
      </c>
      <c r="F290" s="6">
        <f>G193*$F$152*$F$278</f>
        <v>-4.1508577195312499</v>
      </c>
      <c r="G290" s="7">
        <f>$F290-$F$280</f>
        <v>-5.3368170679687505</v>
      </c>
      <c r="H290" s="7">
        <f>$F290+$F$280</f>
        <v>-2.9648983710937498</v>
      </c>
      <c r="J290" s="105"/>
    </row>
    <row r="291" spans="1:10" hidden="1" x14ac:dyDescent="0.2">
      <c r="A291" s="106"/>
      <c r="E291" s="8"/>
      <c r="F291" s="34"/>
      <c r="G291" s="35"/>
      <c r="H291" s="35"/>
      <c r="J291" s="105"/>
    </row>
    <row r="292" spans="1:10" hidden="1" x14ac:dyDescent="0.2">
      <c r="A292" s="106"/>
      <c r="E292" s="8"/>
      <c r="F292" s="9"/>
      <c r="G292" s="8"/>
      <c r="H292" s="8"/>
      <c r="J292" s="105"/>
    </row>
    <row r="293" spans="1:10" ht="14.25" hidden="1" x14ac:dyDescent="0.2">
      <c r="A293" s="137" t="s">
        <v>86</v>
      </c>
      <c r="B293" s="138"/>
      <c r="C293" s="138"/>
      <c r="D293" s="138"/>
      <c r="E293" s="10"/>
      <c r="F293" s="11"/>
      <c r="G293" s="10"/>
      <c r="H293" s="10"/>
      <c r="J293" s="105"/>
    </row>
    <row r="294" spans="1:10" hidden="1" x14ac:dyDescent="0.2">
      <c r="A294" s="137"/>
      <c r="E294" s="4"/>
      <c r="F294" s="178" t="s">
        <v>97</v>
      </c>
      <c r="G294" s="12" t="s">
        <v>23</v>
      </c>
      <c r="H294" s="12"/>
      <c r="J294" s="105"/>
    </row>
    <row r="295" spans="1:10" hidden="1" x14ac:dyDescent="0.2">
      <c r="A295" s="106"/>
      <c r="B295" s="138"/>
      <c r="C295" s="138"/>
      <c r="D295" s="138"/>
      <c r="E295" s="4"/>
      <c r="F295" s="179"/>
      <c r="G295" s="13" t="s">
        <v>24</v>
      </c>
      <c r="H295" s="13" t="s">
        <v>25</v>
      </c>
      <c r="J295" s="105"/>
    </row>
    <row r="296" spans="1:10" hidden="1" x14ac:dyDescent="0.2">
      <c r="A296" s="106" t="s">
        <v>93</v>
      </c>
      <c r="E296" s="4" t="s">
        <v>21</v>
      </c>
      <c r="F296" s="6">
        <f>D194*$F$152*$F$277</f>
        <v>-2.9648983710937502</v>
      </c>
      <c r="G296" s="7">
        <f>$F296-$F$279</f>
        <v>-4.1508577195312508</v>
      </c>
      <c r="H296" s="7">
        <f>$F296+$F$279</f>
        <v>-1.77893902265625</v>
      </c>
      <c r="J296" s="105"/>
    </row>
    <row r="297" spans="1:10" hidden="1" x14ac:dyDescent="0.2">
      <c r="A297" s="106" t="s">
        <v>88</v>
      </c>
      <c r="E297" s="4" t="s">
        <v>21</v>
      </c>
      <c r="F297" s="6">
        <f>F264*$F$152*$F$277</f>
        <v>-5.2525436105334276</v>
      </c>
      <c r="G297" s="7">
        <f>$F297-$F$279</f>
        <v>-6.4385029589709273</v>
      </c>
      <c r="H297" s="7">
        <f>$F297+$F$279</f>
        <v>-4.0665842620959278</v>
      </c>
      <c r="J297" s="105"/>
    </row>
    <row r="298" spans="1:10" hidden="1" x14ac:dyDescent="0.2">
      <c r="A298" s="106" t="s">
        <v>94</v>
      </c>
      <c r="E298" s="4" t="s">
        <v>21</v>
      </c>
      <c r="F298" s="6">
        <f>E194*$F$152*$F$277</f>
        <v>-2.9648983710937502</v>
      </c>
      <c r="G298" s="7">
        <f>$F298-$F$279</f>
        <v>-4.1508577195312508</v>
      </c>
      <c r="H298" s="7">
        <f>$F298+$F$279</f>
        <v>-1.77893902265625</v>
      </c>
      <c r="J298" s="105"/>
    </row>
    <row r="299" spans="1:10" hidden="1" x14ac:dyDescent="0.2">
      <c r="A299" s="106"/>
      <c r="E299" s="36"/>
      <c r="F299" s="37"/>
      <c r="G299" s="38"/>
      <c r="H299" s="38"/>
      <c r="J299" s="105"/>
    </row>
    <row r="300" spans="1:10" hidden="1" x14ac:dyDescent="0.2">
      <c r="A300" s="106" t="s">
        <v>89</v>
      </c>
      <c r="E300" s="4" t="s">
        <v>21</v>
      </c>
      <c r="F300" s="6">
        <f>F194*$F$152*$F$278</f>
        <v>4.1508577195312499</v>
      </c>
      <c r="G300" s="7">
        <f>$F300-$F$280</f>
        <v>2.9648983710937498</v>
      </c>
      <c r="H300" s="7">
        <f>$F300+$F$280</f>
        <v>5.3368170679687505</v>
      </c>
      <c r="J300" s="105"/>
    </row>
    <row r="301" spans="1:10" hidden="1" x14ac:dyDescent="0.2">
      <c r="A301" s="106" t="s">
        <v>90</v>
      </c>
      <c r="E301" s="4" t="s">
        <v>21</v>
      </c>
      <c r="F301" s="6">
        <f>G194*$F$152*$F$278</f>
        <v>-0.59297967421875009</v>
      </c>
      <c r="G301" s="7">
        <f>$F301-$F$280</f>
        <v>-1.7789390226562503</v>
      </c>
      <c r="H301" s="7">
        <f>$F301+$F$280</f>
        <v>0.59297967421875009</v>
      </c>
      <c r="J301" s="105"/>
    </row>
    <row r="302" spans="1:10" hidden="1" x14ac:dyDescent="0.2">
      <c r="A302" s="106"/>
      <c r="J302" s="105"/>
    </row>
    <row r="303" spans="1:10" hidden="1" x14ac:dyDescent="0.2">
      <c r="A303" s="106" t="s">
        <v>64</v>
      </c>
      <c r="J303" s="105"/>
    </row>
    <row r="304" spans="1:10" hidden="1" x14ac:dyDescent="0.2">
      <c r="A304" s="106"/>
      <c r="J304" s="105"/>
    </row>
    <row r="305" spans="1:10" x14ac:dyDescent="0.2">
      <c r="A305" s="103" t="s">
        <v>164</v>
      </c>
      <c r="J305" s="105"/>
    </row>
    <row r="306" spans="1:10" x14ac:dyDescent="0.2">
      <c r="A306" s="103"/>
      <c r="J306" s="105"/>
    </row>
    <row r="307" spans="1:10" ht="13.5" thickBot="1" x14ac:dyDescent="0.25">
      <c r="A307" s="106" t="s">
        <v>124</v>
      </c>
      <c r="J307" s="105"/>
    </row>
    <row r="308" spans="1:10" x14ac:dyDescent="0.2">
      <c r="A308" s="97" t="s">
        <v>129</v>
      </c>
      <c r="B308" s="176" t="s">
        <v>126</v>
      </c>
      <c r="C308" s="176"/>
      <c r="D308" s="176" t="s">
        <v>127</v>
      </c>
      <c r="E308" s="176"/>
      <c r="F308" s="176" t="s">
        <v>128</v>
      </c>
      <c r="G308" s="176"/>
      <c r="H308" s="98" t="s">
        <v>131</v>
      </c>
      <c r="J308" s="105"/>
    </row>
    <row r="309" spans="1:10" ht="13.5" thickBot="1" x14ac:dyDescent="0.25">
      <c r="A309" s="99" t="s">
        <v>130</v>
      </c>
      <c r="B309" s="100" t="s">
        <v>133</v>
      </c>
      <c r="C309" s="100" t="s">
        <v>134</v>
      </c>
      <c r="D309" s="101" t="s">
        <v>133</v>
      </c>
      <c r="E309" s="101" t="s">
        <v>134</v>
      </c>
      <c r="F309" s="100">
        <v>1</v>
      </c>
      <c r="G309" s="100">
        <v>2</v>
      </c>
      <c r="H309" s="102" t="s">
        <v>132</v>
      </c>
      <c r="J309" s="105"/>
    </row>
    <row r="310" spans="1:10" x14ac:dyDescent="0.2">
      <c r="A310" s="94">
        <v>1</v>
      </c>
      <c r="B310" s="95">
        <f>$D$193-$F$270</f>
        <v>0.49999999999999994</v>
      </c>
      <c r="C310" s="95">
        <f>B313</f>
        <v>-0.5</v>
      </c>
      <c r="D310" s="95">
        <f>$D$193+$F$270</f>
        <v>0.89999999999999991</v>
      </c>
      <c r="E310" s="95">
        <f>D313</f>
        <v>-9.9999999999999978E-2</v>
      </c>
      <c r="F310" s="95">
        <f>$D$194-$F$270</f>
        <v>-0.7</v>
      </c>
      <c r="G310" s="95">
        <f>D194+F270</f>
        <v>-0.3</v>
      </c>
      <c r="H310" s="96">
        <v>0</v>
      </c>
      <c r="J310" s="105"/>
    </row>
    <row r="311" spans="1:10" x14ac:dyDescent="0.2">
      <c r="A311" s="87">
        <v>2</v>
      </c>
      <c r="B311" s="86">
        <f>$D$264-$F$270</f>
        <v>-1.1284237254999858</v>
      </c>
      <c r="C311" s="86">
        <f>B312</f>
        <v>-0.8</v>
      </c>
      <c r="D311" s="86">
        <f>$D$264+$F$270</f>
        <v>-0.72842372549998569</v>
      </c>
      <c r="E311" s="86">
        <f>D312</f>
        <v>-0.39999999999999997</v>
      </c>
      <c r="F311" s="86">
        <f>$F$264-$F$270</f>
        <v>-1.0857881372500071</v>
      </c>
      <c r="G311" s="86">
        <f>F264+F270</f>
        <v>-0.6857881372500072</v>
      </c>
      <c r="H311" s="88">
        <v>0</v>
      </c>
      <c r="J311" s="105"/>
    </row>
    <row r="312" spans="1:10" x14ac:dyDescent="0.2">
      <c r="A312" s="87">
        <v>3</v>
      </c>
      <c r="B312" s="86">
        <f>$E$264-$F$270</f>
        <v>-0.8</v>
      </c>
      <c r="C312" s="86">
        <f>B311</f>
        <v>-1.1284237254999858</v>
      </c>
      <c r="D312" s="86">
        <f>$E$264+$F$270</f>
        <v>-0.39999999999999997</v>
      </c>
      <c r="E312" s="86">
        <f>D311</f>
        <v>-0.72842372549998569</v>
      </c>
      <c r="F312" s="86">
        <f>$F$264-$F$270</f>
        <v>-1.0857881372500071</v>
      </c>
      <c r="G312" s="86">
        <f>F264+F270</f>
        <v>-0.6857881372500072</v>
      </c>
      <c r="H312" s="88">
        <v>0</v>
      </c>
      <c r="J312" s="105"/>
    </row>
    <row r="313" spans="1:10" x14ac:dyDescent="0.2">
      <c r="A313" s="87">
        <v>4</v>
      </c>
      <c r="B313" s="85">
        <f>$E$193-$F$270</f>
        <v>-0.5</v>
      </c>
      <c r="C313" s="85">
        <f>B310</f>
        <v>0.49999999999999994</v>
      </c>
      <c r="D313" s="85">
        <f>$E$193+$F$270</f>
        <v>-9.9999999999999978E-2</v>
      </c>
      <c r="E313" s="85">
        <f>D310</f>
        <v>0.89999999999999991</v>
      </c>
      <c r="F313" s="85">
        <f>$E$194-$F$270</f>
        <v>-0.7</v>
      </c>
      <c r="G313" s="85">
        <f>E194+F270</f>
        <v>-0.3</v>
      </c>
      <c r="H313" s="88">
        <v>0</v>
      </c>
      <c r="J313" s="105"/>
    </row>
    <row r="314" spans="1:10" x14ac:dyDescent="0.2">
      <c r="A314" s="89">
        <v>5</v>
      </c>
      <c r="B314" s="3">
        <f>$F$193-$F$270</f>
        <v>-0.89999999999999991</v>
      </c>
      <c r="C314" s="3">
        <f>$F$193-$F$270</f>
        <v>-0.89999999999999991</v>
      </c>
      <c r="D314" s="3">
        <f>$F$193+$F$270</f>
        <v>-0.49999999999999994</v>
      </c>
      <c r="E314" s="3">
        <f>$F$193+$F$270</f>
        <v>-0.49999999999999994</v>
      </c>
      <c r="F314" s="3">
        <f>$F$194-$F$270</f>
        <v>0.49999999999999994</v>
      </c>
      <c r="G314" s="3">
        <f>F194+F270</f>
        <v>0.89999999999999991</v>
      </c>
      <c r="H314" s="90">
        <v>0</v>
      </c>
      <c r="J314" s="105"/>
    </row>
    <row r="315" spans="1:10" ht="13.5" thickBot="1" x14ac:dyDescent="0.25">
      <c r="A315" s="91">
        <v>6</v>
      </c>
      <c r="B315" s="92">
        <f>$G$193-$F$270</f>
        <v>-0.89999999999999991</v>
      </c>
      <c r="C315" s="92">
        <f>$G$193-$F$270</f>
        <v>-0.89999999999999991</v>
      </c>
      <c r="D315" s="92">
        <f>$G$193+$F$270</f>
        <v>-0.49999999999999994</v>
      </c>
      <c r="E315" s="92">
        <f>$G$193+$F$270</f>
        <v>-0.49999999999999994</v>
      </c>
      <c r="F315" s="92">
        <f>$G$194-$F$270</f>
        <v>-0.30000000000000004</v>
      </c>
      <c r="G315" s="92">
        <f>G194+F270</f>
        <v>0.1</v>
      </c>
      <c r="H315" s="93">
        <v>0</v>
      </c>
      <c r="J315" s="105"/>
    </row>
    <row r="316" spans="1:10" ht="13.5" thickBot="1" x14ac:dyDescent="0.25">
      <c r="A316" s="139"/>
      <c r="B316" s="32"/>
      <c r="C316" s="32"/>
      <c r="D316" s="32"/>
      <c r="E316" s="32"/>
      <c r="F316" s="140"/>
      <c r="G316" s="140"/>
      <c r="H316" s="32"/>
      <c r="I316" s="32"/>
      <c r="J316" s="141"/>
    </row>
    <row r="317" spans="1:10" hidden="1" x14ac:dyDescent="0.2">
      <c r="A317" s="2" t="s">
        <v>147</v>
      </c>
      <c r="G317" s="1"/>
    </row>
    <row r="318" spans="1:10" hidden="1" x14ac:dyDescent="0.2">
      <c r="G318" s="1"/>
    </row>
    <row r="319" spans="1:10" hidden="1" x14ac:dyDescent="0.2">
      <c r="A319" t="s">
        <v>139</v>
      </c>
      <c r="G319" s="1"/>
    </row>
    <row r="320" spans="1:10" hidden="1" x14ac:dyDescent="0.2">
      <c r="A320" t="s">
        <v>140</v>
      </c>
      <c r="B320" t="s">
        <v>140</v>
      </c>
      <c r="G320" s="1"/>
    </row>
    <row r="321" spans="1:7" hidden="1" x14ac:dyDescent="0.2">
      <c r="A321" t="s">
        <v>141</v>
      </c>
      <c r="B321" t="s">
        <v>142</v>
      </c>
      <c r="G321" s="1"/>
    </row>
    <row r="322" spans="1:7" hidden="1" x14ac:dyDescent="0.2">
      <c r="A322" s="56">
        <f>$F$152*MAX(MAX($B$310:$G$310),MAX($B$313:$G$313))</f>
        <v>0.71157560906249995</v>
      </c>
      <c r="B322" s="56">
        <f>$F$152*MIN(MIN($B$310:$G$310),MIN($B$313:$G$313))</f>
        <v>-0.55344769593749998</v>
      </c>
      <c r="C322" t="s">
        <v>146</v>
      </c>
      <c r="G322" s="1"/>
    </row>
    <row r="323" spans="1:7" hidden="1" x14ac:dyDescent="0.2">
      <c r="A323" s="56">
        <f>A322</f>
        <v>0.71157560906249995</v>
      </c>
      <c r="B323" s="56">
        <f>B322</f>
        <v>-0.55344769593749998</v>
      </c>
      <c r="C323" t="s">
        <v>145</v>
      </c>
      <c r="G323" s="1"/>
    </row>
    <row r="324" spans="1:7" hidden="1" x14ac:dyDescent="0.2">
      <c r="A324" s="56">
        <f>A322</f>
        <v>0.71157560906249995</v>
      </c>
      <c r="B324" s="56">
        <f>B322</f>
        <v>-0.55344769593749998</v>
      </c>
      <c r="C324" t="s">
        <v>144</v>
      </c>
      <c r="G324" s="1"/>
    </row>
    <row r="325" spans="1:7" hidden="1" x14ac:dyDescent="0.2">
      <c r="A325" s="56">
        <f>A322</f>
        <v>0.71157560906249995</v>
      </c>
      <c r="B325" s="56">
        <f>B322</f>
        <v>-0.55344769593749998</v>
      </c>
      <c r="C325" t="s">
        <v>143</v>
      </c>
      <c r="G325" s="1"/>
    </row>
    <row r="326" spans="1:7" hidden="1" x14ac:dyDescent="0.2">
      <c r="G326" s="1"/>
    </row>
    <row r="327" spans="1:7" hidden="1" x14ac:dyDescent="0.2">
      <c r="A327" t="s">
        <v>160</v>
      </c>
      <c r="D327">
        <f>MIN($F$8,(0.25*MIN($F$5,$F$6)))*1000</f>
        <v>5503.75</v>
      </c>
      <c r="G327" s="1"/>
    </row>
    <row r="328" spans="1:7" hidden="1" x14ac:dyDescent="0.2">
      <c r="A328" t="s">
        <v>161</v>
      </c>
      <c r="D328">
        <f>MIN(H193:H194)-F270</f>
        <v>-1.3</v>
      </c>
      <c r="G328" s="1"/>
    </row>
    <row r="329" spans="1:7" hidden="1" x14ac:dyDescent="0.2">
      <c r="A329" t="s">
        <v>162</v>
      </c>
      <c r="D329">
        <f>D328/MIN(B310:G310,B313:G313)</f>
        <v>1.8571428571428574</v>
      </c>
      <c r="G329" s="1"/>
    </row>
    <row r="330" spans="1:7" hidden="1" x14ac:dyDescent="0.2">
      <c r="G330" s="1"/>
    </row>
    <row r="331" spans="1:7" hidden="1" x14ac:dyDescent="0.2">
      <c r="A331" s="2" t="s">
        <v>151</v>
      </c>
      <c r="G331" s="1"/>
    </row>
    <row r="332" spans="1:7" hidden="1" x14ac:dyDescent="0.2"/>
    <row r="333" spans="1:7" hidden="1" x14ac:dyDescent="0.2">
      <c r="A333" t="s">
        <v>148</v>
      </c>
    </row>
    <row r="334" spans="1:7" hidden="1" x14ac:dyDescent="0.2">
      <c r="A334" t="s">
        <v>149</v>
      </c>
    </row>
    <row r="335" spans="1:7" hidden="1" x14ac:dyDescent="0.2">
      <c r="A335" t="s">
        <v>140</v>
      </c>
      <c r="B335" t="s">
        <v>140</v>
      </c>
    </row>
    <row r="336" spans="1:7" hidden="1" x14ac:dyDescent="0.2">
      <c r="A336" t="s">
        <v>141</v>
      </c>
      <c r="B336" t="s">
        <v>142</v>
      </c>
    </row>
    <row r="337" spans="1:9" hidden="1" x14ac:dyDescent="0.2">
      <c r="A337" s="56">
        <f>MAX((G289:H290),(G300:H301))/F278</f>
        <v>0.71157560906250006</v>
      </c>
      <c r="B337" s="56">
        <f>MIN((G289:H290),(G300:H301))/F278</f>
        <v>-0.71157560906250006</v>
      </c>
      <c r="C337" t="s">
        <v>150</v>
      </c>
    </row>
    <row r="338" spans="1:9" hidden="1" x14ac:dyDescent="0.2">
      <c r="A338" s="56">
        <f>A337</f>
        <v>0.71157560906250006</v>
      </c>
      <c r="B338" s="56">
        <f>B337</f>
        <v>-0.71157560906250006</v>
      </c>
      <c r="C338" t="s">
        <v>146</v>
      </c>
    </row>
    <row r="339" spans="1:9" hidden="1" x14ac:dyDescent="0.2">
      <c r="A339" s="56">
        <f>A337</f>
        <v>0.71157560906250006</v>
      </c>
      <c r="B339" s="56">
        <f>B337</f>
        <v>-0.71157560906250006</v>
      </c>
      <c r="C339" t="s">
        <v>144</v>
      </c>
    </row>
    <row r="340" spans="1:9" hidden="1" x14ac:dyDescent="0.2">
      <c r="A340" s="56">
        <f>A337</f>
        <v>0.71157560906250006</v>
      </c>
      <c r="B340" s="56">
        <f>B337</f>
        <v>-0.71157560906250006</v>
      </c>
      <c r="C340" t="s">
        <v>145</v>
      </c>
    </row>
    <row r="341" spans="1:9" hidden="1" x14ac:dyDescent="0.2">
      <c r="A341" s="56">
        <f>A337</f>
        <v>0.71157560906250006</v>
      </c>
      <c r="B341" s="56">
        <f>B337</f>
        <v>-0.71157560906250006</v>
      </c>
      <c r="C341" t="s">
        <v>143</v>
      </c>
    </row>
    <row r="342" spans="1:9" hidden="1" x14ac:dyDescent="0.2"/>
    <row r="343" spans="1:9" hidden="1" x14ac:dyDescent="0.2">
      <c r="A343" t="s">
        <v>125</v>
      </c>
    </row>
    <row r="344" spans="1:9" hidden="1" x14ac:dyDescent="0.2">
      <c r="A344" t="s">
        <v>129</v>
      </c>
      <c r="B344" s="177" t="s">
        <v>135</v>
      </c>
      <c r="C344" s="177"/>
      <c r="D344" s="177" t="s">
        <v>136</v>
      </c>
      <c r="E344" s="177"/>
      <c r="F344" s="177" t="s">
        <v>137</v>
      </c>
      <c r="G344" s="177"/>
      <c r="H344" t="s">
        <v>138</v>
      </c>
      <c r="I344" t="s">
        <v>131</v>
      </c>
    </row>
    <row r="345" spans="1:9" hidden="1" x14ac:dyDescent="0.2">
      <c r="A345" t="s">
        <v>130</v>
      </c>
      <c r="B345" t="s">
        <v>133</v>
      </c>
      <c r="C345" t="s">
        <v>134</v>
      </c>
      <c r="D345" t="s">
        <v>133</v>
      </c>
      <c r="E345" t="s">
        <v>134</v>
      </c>
      <c r="F345" t="s">
        <v>133</v>
      </c>
      <c r="G345" t="s">
        <v>134</v>
      </c>
      <c r="H345" t="s">
        <v>77</v>
      </c>
      <c r="I345" t="s">
        <v>132</v>
      </c>
    </row>
    <row r="346" spans="1:9" hidden="1" x14ac:dyDescent="0.2">
      <c r="A346">
        <v>1</v>
      </c>
      <c r="B346">
        <f>$D$193-$F$270</f>
        <v>0.49999999999999994</v>
      </c>
      <c r="C346">
        <f>B349</f>
        <v>-0.5</v>
      </c>
      <c r="D346">
        <f>$D$193+$F$270</f>
        <v>0.89999999999999991</v>
      </c>
      <c r="E346">
        <f>D349</f>
        <v>-9.9999999999999978E-2</v>
      </c>
      <c r="F346">
        <f>$D$193-$F$270</f>
        <v>0.49999999999999994</v>
      </c>
      <c r="G346">
        <f>F349</f>
        <v>-0.5</v>
      </c>
      <c r="H346" s="1">
        <f>$D$194-$F$270</f>
        <v>-0.7</v>
      </c>
      <c r="I346">
        <v>0</v>
      </c>
    </row>
    <row r="347" spans="1:9" hidden="1" x14ac:dyDescent="0.2">
      <c r="A347">
        <v>2</v>
      </c>
      <c r="B347" s="14">
        <f>$D$264-$F$270</f>
        <v>-1.1284237254999858</v>
      </c>
      <c r="C347" s="14">
        <f>B348</f>
        <v>-0.8</v>
      </c>
      <c r="D347" s="14">
        <f>$D$264+$F$270</f>
        <v>-0.72842372549998569</v>
      </c>
      <c r="E347" s="14">
        <f>D348</f>
        <v>-0.39999999999999997</v>
      </c>
      <c r="F347" s="14">
        <f>$D$264-$F$270</f>
        <v>-1.1284237254999858</v>
      </c>
      <c r="G347" s="14">
        <f>F348</f>
        <v>-0.8</v>
      </c>
      <c r="H347" s="5">
        <f>$F$264-$F$270</f>
        <v>-1.0857881372500071</v>
      </c>
      <c r="I347">
        <v>0</v>
      </c>
    </row>
    <row r="348" spans="1:9" hidden="1" x14ac:dyDescent="0.2">
      <c r="A348">
        <v>3</v>
      </c>
      <c r="B348" s="14">
        <f>$E$264-$F$270</f>
        <v>-0.8</v>
      </c>
      <c r="C348" s="14">
        <f>B347</f>
        <v>-1.1284237254999858</v>
      </c>
      <c r="D348" s="14">
        <f>$E$264+$F$270</f>
        <v>-0.39999999999999997</v>
      </c>
      <c r="E348" s="14">
        <f>D347</f>
        <v>-0.72842372549998569</v>
      </c>
      <c r="F348" s="14">
        <f>$E$264-$F$270</f>
        <v>-0.8</v>
      </c>
      <c r="G348" s="14">
        <f>F347</f>
        <v>-1.1284237254999858</v>
      </c>
      <c r="H348" s="5">
        <f>$F$264-$F$270</f>
        <v>-1.0857881372500071</v>
      </c>
      <c r="I348">
        <v>0</v>
      </c>
    </row>
    <row r="349" spans="1:9" hidden="1" x14ac:dyDescent="0.2">
      <c r="A349">
        <v>4</v>
      </c>
      <c r="B349">
        <f>$E$193-$F$270</f>
        <v>-0.5</v>
      </c>
      <c r="C349">
        <f>B346</f>
        <v>0.49999999999999994</v>
      </c>
      <c r="D349">
        <f>$E$193+$F$270</f>
        <v>-9.9999999999999978E-2</v>
      </c>
      <c r="E349">
        <f>D346</f>
        <v>0.89999999999999991</v>
      </c>
      <c r="F349">
        <f>$E$193-$F$270</f>
        <v>-0.5</v>
      </c>
      <c r="G349">
        <f>F346</f>
        <v>0.49999999999999994</v>
      </c>
      <c r="H349" s="1">
        <f>$E$194-$F$270</f>
        <v>-0.7</v>
      </c>
      <c r="I349">
        <v>0</v>
      </c>
    </row>
    <row r="350" spans="1:9" hidden="1" x14ac:dyDescent="0.2"/>
    <row r="351" spans="1:9" hidden="1" x14ac:dyDescent="0.2">
      <c r="A351" s="2" t="s">
        <v>152</v>
      </c>
      <c r="E351" s="1"/>
    </row>
    <row r="352" spans="1:9" hidden="1" x14ac:dyDescent="0.2"/>
    <row r="353" spans="1:6" hidden="1" x14ac:dyDescent="0.2">
      <c r="A353" t="s">
        <v>148</v>
      </c>
    </row>
    <row r="354" spans="1:6" hidden="1" x14ac:dyDescent="0.2">
      <c r="A354" t="s">
        <v>149</v>
      </c>
    </row>
    <row r="355" spans="1:6" hidden="1" x14ac:dyDescent="0.2">
      <c r="A355" t="s">
        <v>140</v>
      </c>
      <c r="B355" t="s">
        <v>140</v>
      </c>
      <c r="C355" t="s">
        <v>140</v>
      </c>
    </row>
    <row r="356" spans="1:6" hidden="1" x14ac:dyDescent="0.2">
      <c r="A356" t="s">
        <v>141</v>
      </c>
      <c r="B356" t="s">
        <v>142</v>
      </c>
      <c r="C356" t="s">
        <v>159</v>
      </c>
    </row>
    <row r="357" spans="1:6" hidden="1" x14ac:dyDescent="0.2">
      <c r="A357" s="56">
        <f>$F$152*MAX(B311:G312)</f>
        <v>-0.31625582624999998</v>
      </c>
      <c r="B357" s="56">
        <f>$F$152*MIN(B311:G312)</f>
        <v>-0.8921764441702531</v>
      </c>
      <c r="C357" s="56"/>
      <c r="D357" t="s">
        <v>153</v>
      </c>
      <c r="F357"/>
    </row>
    <row r="358" spans="1:6" hidden="1" x14ac:dyDescent="0.2">
      <c r="A358" s="56">
        <f>A357</f>
        <v>-0.31625582624999998</v>
      </c>
      <c r="B358" s="56">
        <f>B357</f>
        <v>-0.8921764441702531</v>
      </c>
      <c r="C358" s="56"/>
      <c r="D358" t="s">
        <v>154</v>
      </c>
      <c r="F358"/>
    </row>
    <row r="359" spans="1:6" hidden="1" x14ac:dyDescent="0.2">
      <c r="A359" s="56">
        <f>A357</f>
        <v>-0.31625582624999998</v>
      </c>
      <c r="B359" s="56">
        <f>B357</f>
        <v>-0.8921764441702531</v>
      </c>
      <c r="C359" s="56"/>
      <c r="D359" t="s">
        <v>155</v>
      </c>
      <c r="F359"/>
    </row>
    <row r="360" spans="1:6" hidden="1" x14ac:dyDescent="0.2">
      <c r="A360" s="56">
        <f>+F194*F152</f>
        <v>0.55344769593749998</v>
      </c>
      <c r="B360" s="56">
        <f>+G194*F152</f>
        <v>-7.906395656250001E-2</v>
      </c>
      <c r="C360" s="56">
        <f>MIN($G$297:$H$297)/$F$278</f>
        <v>-0.85846706119612359</v>
      </c>
      <c r="D360" t="s">
        <v>156</v>
      </c>
      <c r="F360"/>
    </row>
    <row r="361" spans="1:6" hidden="1" x14ac:dyDescent="0.2">
      <c r="A361" s="56">
        <f>MAX(G300:H301)/$F$278</f>
        <v>0.71157560906250006</v>
      </c>
      <c r="B361" s="56">
        <f>MIN(G300:H301)/$F$278</f>
        <v>-0.23719186968750003</v>
      </c>
      <c r="C361" s="56"/>
      <c r="D361" t="s">
        <v>157</v>
      </c>
      <c r="F361"/>
    </row>
    <row r="362" spans="1:6" hidden="1" x14ac:dyDescent="0.2">
      <c r="A362" s="56">
        <f>MAX(G300:H301)/$F$278</f>
        <v>0.71157560906250006</v>
      </c>
      <c r="B362" s="56">
        <f>MIN(G301:H302)/$F$278</f>
        <v>-0.23719186968750003</v>
      </c>
      <c r="C362" s="56">
        <f>MIN($G$297:$H$297)/$F$278</f>
        <v>-0.85846706119612359</v>
      </c>
      <c r="D362" t="s">
        <v>158</v>
      </c>
      <c r="F362"/>
    </row>
    <row r="363" spans="1:6" hidden="1" x14ac:dyDescent="0.2"/>
    <row r="364" spans="1:6" hidden="1" x14ac:dyDescent="0.2">
      <c r="A364" t="s">
        <v>160</v>
      </c>
      <c r="D364">
        <f>MIN($F$8,(0.15*MIN($F$5,$F$6)))*1000</f>
        <v>3302.25</v>
      </c>
    </row>
    <row r="365" spans="1:6" hidden="1" x14ac:dyDescent="0.2">
      <c r="A365" t="s">
        <v>163</v>
      </c>
      <c r="D365">
        <v>-2.0499999999999998</v>
      </c>
    </row>
    <row r="366" spans="1:6" hidden="1" x14ac:dyDescent="0.2">
      <c r="A366" t="s">
        <v>162</v>
      </c>
      <c r="D366">
        <f>D365/MIN(B311:G312)</f>
        <v>1.8166934580285246</v>
      </c>
    </row>
    <row r="367" spans="1:6" hidden="1" x14ac:dyDescent="0.2"/>
  </sheetData>
  <sheetProtection selectLockedCells="1"/>
  <protectedRanges>
    <protectedRange sqref="F9" name="Range2"/>
    <protectedRange sqref="C2:C3" name="Range1"/>
    <protectedRange sqref="F21" name="Range4"/>
    <protectedRange sqref="F147" name="Range5"/>
    <protectedRange sqref="F198" name="Range6"/>
    <protectedRange sqref="F270" name="Range7"/>
    <protectedRange sqref="F277:F278" name="Range8"/>
    <protectedRange sqref="F5:F8" name="Range2_1"/>
    <protectedRange sqref="F13:F15" name="Range3_1"/>
  </protectedRanges>
  <dataConsolidate/>
  <mergeCells count="30">
    <mergeCell ref="F308:G308"/>
    <mergeCell ref="B344:C344"/>
    <mergeCell ref="D344:E344"/>
    <mergeCell ref="F344:G344"/>
    <mergeCell ref="F260:G260"/>
    <mergeCell ref="F282:F283"/>
    <mergeCell ref="F294:F295"/>
    <mergeCell ref="B308:C308"/>
    <mergeCell ref="D308:E308"/>
    <mergeCell ref="F207:F212"/>
    <mergeCell ref="B244:C244"/>
    <mergeCell ref="D244:E244"/>
    <mergeCell ref="B230:C230"/>
    <mergeCell ref="D230:E230"/>
    <mergeCell ref="A1:J1"/>
    <mergeCell ref="C2:F2"/>
    <mergeCell ref="C3:F3"/>
    <mergeCell ref="H260:I260"/>
    <mergeCell ref="D213:E213"/>
    <mergeCell ref="D260:E260"/>
    <mergeCell ref="I156:I157"/>
    <mergeCell ref="H156:H157"/>
    <mergeCell ref="G156:G157"/>
    <mergeCell ref="B216:C216"/>
    <mergeCell ref="D216:E216"/>
    <mergeCell ref="D214:E214"/>
    <mergeCell ref="D205:E205"/>
    <mergeCell ref="F156:F158"/>
    <mergeCell ref="E156:E158"/>
    <mergeCell ref="C202:C203"/>
  </mergeCells>
  <phoneticPr fontId="0" type="noConversion"/>
  <dataValidations count="3">
    <dataValidation type="list" allowBlank="1" showInputMessage="1" showErrorMessage="1" sqref="I2" xr:uid="{00000000-0002-0000-0000-000000000000}">
      <formula1>"Pin, Fix"</formula1>
    </dataValidation>
    <dataValidation type="list" allowBlank="1" showInputMessage="1" showErrorMessage="1" sqref="I3" xr:uid="{00000000-0002-0000-0000-000001000000}">
      <formula1>"II, III, IV, V"</formula1>
    </dataValidation>
    <dataValidation type="list" allowBlank="1" showInputMessage="1" showErrorMessage="1" sqref="I8" xr:uid="{00000000-0002-0000-0000-000002000000}">
      <formula1>"&lt;5%, 5-20%,&gt;20%"</formula1>
    </dataValidation>
  </dataValidations>
  <printOptions gridLines="1"/>
  <pageMargins left="0.98425196850393704" right="0.59055118110236204" top="0.78740157480314998" bottom="0.78740157480314998" header="0.196850393700787" footer="0.59055118110236204"/>
  <pageSetup paperSize="9" scale="81" orientation="portrait" r:id="rId1"/>
  <headerFooter alignWithMargins="0">
    <oddHeader>Page &amp;P&amp;RBldg Loads</oddHeader>
    <oddFooter>&amp;L&amp;8&amp;Z&amp;F&amp;C&amp;P/&amp;N</oddFooter>
  </headerFooter>
  <rowBreaks count="2" manualBreakCount="2">
    <brk id="195" max="9" man="1"/>
    <brk id="349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9"/>
  <sheetViews>
    <sheetView topLeftCell="A85" workbookViewId="0">
      <selection activeCell="J103" sqref="J103"/>
    </sheetView>
  </sheetViews>
  <sheetFormatPr defaultRowHeight="12.75" x14ac:dyDescent="0.2"/>
  <cols>
    <col min="1" max="1" width="31.5703125" customWidth="1"/>
    <col min="17" max="17" width="11.140625" customWidth="1"/>
  </cols>
  <sheetData>
    <row r="1" spans="1:4" x14ac:dyDescent="0.2">
      <c r="A1" t="s">
        <v>213</v>
      </c>
      <c r="B1">
        <f>+'WL-Single Gable-MBS'!F5</f>
        <v>72</v>
      </c>
      <c r="C1" t="s">
        <v>4</v>
      </c>
    </row>
    <row r="2" spans="1:4" x14ac:dyDescent="0.2">
      <c r="A2" t="s">
        <v>212</v>
      </c>
      <c r="B2">
        <f>+'WL-Single Gable-MBS'!F6</f>
        <v>22.015000000000001</v>
      </c>
      <c r="C2" t="s">
        <v>4</v>
      </c>
    </row>
    <row r="3" spans="1:4" x14ac:dyDescent="0.2">
      <c r="A3" t="s">
        <v>211</v>
      </c>
      <c r="B3">
        <v>7</v>
      </c>
      <c r="C3" t="s">
        <v>4</v>
      </c>
    </row>
    <row r="4" spans="1:4" x14ac:dyDescent="0.2">
      <c r="A4" t="s">
        <v>210</v>
      </c>
      <c r="B4">
        <v>1</v>
      </c>
      <c r="C4" t="s">
        <v>209</v>
      </c>
      <c r="D4">
        <v>10</v>
      </c>
    </row>
    <row r="6" spans="1:4" x14ac:dyDescent="0.2">
      <c r="A6" t="s">
        <v>208</v>
      </c>
      <c r="B6">
        <f>'WL-Single Gable-MBS'!F13</f>
        <v>39</v>
      </c>
      <c r="C6" t="s">
        <v>203</v>
      </c>
    </row>
    <row r="8" spans="1:4" x14ac:dyDescent="0.2">
      <c r="A8" t="s">
        <v>207</v>
      </c>
      <c r="B8">
        <v>1</v>
      </c>
    </row>
    <row r="9" spans="1:4" x14ac:dyDescent="0.2">
      <c r="A9" t="s">
        <v>206</v>
      </c>
      <c r="B9">
        <f>'WL-Single Gable-MBS'!F146</f>
        <v>1.1125</v>
      </c>
    </row>
    <row r="10" spans="1:4" x14ac:dyDescent="0.2">
      <c r="A10" t="s">
        <v>205</v>
      </c>
      <c r="B10">
        <v>1</v>
      </c>
    </row>
    <row r="12" spans="1:4" x14ac:dyDescent="0.2">
      <c r="A12" t="s">
        <v>204</v>
      </c>
      <c r="B12">
        <f>B6*B8*B9*B10</f>
        <v>43.387500000000003</v>
      </c>
      <c r="C12" t="s">
        <v>203</v>
      </c>
    </row>
    <row r="14" spans="1:4" x14ac:dyDescent="0.2">
      <c r="A14" t="s">
        <v>202</v>
      </c>
      <c r="B14" s="56">
        <f>+'WL-Single Gable-MBS'!F152</f>
        <v>0.79063956562500004</v>
      </c>
      <c r="C14" t="s">
        <v>201</v>
      </c>
    </row>
    <row r="16" spans="1:4" x14ac:dyDescent="0.2">
      <c r="A16" t="s">
        <v>200</v>
      </c>
      <c r="B16">
        <v>20</v>
      </c>
    </row>
    <row r="17" spans="1:22" x14ac:dyDescent="0.2">
      <c r="A17" s="76" t="s">
        <v>254</v>
      </c>
      <c r="B17" s="56">
        <f>'WL-Single Gable-MBS'!I7</f>
        <v>6</v>
      </c>
      <c r="C17" t="s">
        <v>4</v>
      </c>
    </row>
    <row r="18" spans="1:22" x14ac:dyDescent="0.2">
      <c r="A18" s="76" t="s">
        <v>255</v>
      </c>
      <c r="B18">
        <f>'WL-Single Gable-MBS'!I10</f>
        <v>7.2</v>
      </c>
      <c r="C18" t="s">
        <v>4</v>
      </c>
    </row>
    <row r="19" spans="1:22" x14ac:dyDescent="0.2">
      <c r="A19" s="183" t="s">
        <v>199</v>
      </c>
      <c r="B19" s="183"/>
      <c r="C19" s="183"/>
    </row>
    <row r="20" spans="1:22" x14ac:dyDescent="0.2">
      <c r="A20" s="69"/>
      <c r="B20" s="69"/>
      <c r="C20" s="69"/>
    </row>
    <row r="21" spans="1:22" x14ac:dyDescent="0.2">
      <c r="A21" t="s">
        <v>198</v>
      </c>
      <c r="B21" s="14">
        <f>ATAN(B4/D4)*180/PI()</f>
        <v>5.710593137499643</v>
      </c>
      <c r="C21" t="s">
        <v>197</v>
      </c>
      <c r="O21" s="180" t="s">
        <v>196</v>
      </c>
      <c r="P21" s="181"/>
      <c r="Q21" s="181"/>
      <c r="R21" s="181"/>
      <c r="S21" s="181"/>
      <c r="T21" s="181"/>
      <c r="U21" s="181"/>
      <c r="V21" s="182"/>
    </row>
    <row r="22" spans="1:22" x14ac:dyDescent="0.2">
      <c r="A22" t="s">
        <v>195</v>
      </c>
      <c r="B22">
        <f>B2/2*B4/D4+B3</f>
        <v>8.1007499999999997</v>
      </c>
      <c r="O22" s="64"/>
      <c r="V22" s="74"/>
    </row>
    <row r="23" spans="1:22" x14ac:dyDescent="0.2">
      <c r="A23" t="s">
        <v>194</v>
      </c>
      <c r="B23">
        <f>2*B2*B3+(B22-B3)*B2</f>
        <v>332.44301125000004</v>
      </c>
      <c r="O23" s="13" t="s">
        <v>8</v>
      </c>
      <c r="P23" s="13" t="s">
        <v>13</v>
      </c>
      <c r="Q23" s="12" t="s">
        <v>57</v>
      </c>
      <c r="R23" s="13" t="s">
        <v>17</v>
      </c>
      <c r="S23" s="13" t="s">
        <v>18</v>
      </c>
      <c r="T23" s="13" t="s">
        <v>0</v>
      </c>
      <c r="U23" s="13" t="s">
        <v>19</v>
      </c>
      <c r="V23" s="13" t="s">
        <v>68</v>
      </c>
    </row>
    <row r="24" spans="1:22" ht="14.25" x14ac:dyDescent="0.2">
      <c r="A24" t="s">
        <v>193</v>
      </c>
      <c r="B24">
        <f>2*B1*B3</f>
        <v>1008</v>
      </c>
      <c r="O24" s="64"/>
      <c r="P24" s="62" t="s">
        <v>58</v>
      </c>
      <c r="Q24" s="73" t="s">
        <v>74</v>
      </c>
      <c r="R24" s="72">
        <v>0.7</v>
      </c>
      <c r="S24" s="72">
        <v>-0.2</v>
      </c>
      <c r="T24" s="72">
        <v>-0.5</v>
      </c>
      <c r="U24" s="72">
        <v>-0.5</v>
      </c>
      <c r="V24" s="72">
        <v>-0.8</v>
      </c>
    </row>
    <row r="25" spans="1:22" ht="14.25" x14ac:dyDescent="0.2">
      <c r="A25" t="s">
        <v>192</v>
      </c>
      <c r="B25">
        <f>B23+B24</f>
        <v>1340.4430112499999</v>
      </c>
      <c r="O25" s="65"/>
      <c r="P25" s="59"/>
      <c r="Q25" s="58" t="s">
        <v>75</v>
      </c>
      <c r="R25" s="3">
        <v>-0.5</v>
      </c>
      <c r="S25" s="3">
        <v>-0.5</v>
      </c>
      <c r="T25" s="3">
        <v>0.7</v>
      </c>
      <c r="U25" s="3">
        <v>-0.2</v>
      </c>
      <c r="V25" s="3">
        <v>-0.8</v>
      </c>
    </row>
    <row r="26" spans="1:22" x14ac:dyDescent="0.2">
      <c r="A26" t="s">
        <v>191</v>
      </c>
      <c r="B26" s="14">
        <f>B16/B25*100</f>
        <v>1.4920440356020395</v>
      </c>
      <c r="C26" t="s">
        <v>190</v>
      </c>
      <c r="O26" s="68">
        <v>0.5</v>
      </c>
      <c r="P26" s="59"/>
      <c r="Q26" s="61"/>
      <c r="R26" s="61"/>
      <c r="S26" s="61"/>
      <c r="T26" s="61"/>
      <c r="U26" s="61"/>
      <c r="V26" s="60"/>
    </row>
    <row r="27" spans="1:22" ht="14.25" x14ac:dyDescent="0.2">
      <c r="A27" t="s">
        <v>189</v>
      </c>
      <c r="B27" s="71">
        <f>+'WL-Single Gable-MBS'!F270</f>
        <v>0.2</v>
      </c>
      <c r="O27" s="40"/>
      <c r="P27" s="62" t="s">
        <v>59</v>
      </c>
      <c r="Q27" s="58" t="s">
        <v>74</v>
      </c>
      <c r="R27" s="3">
        <v>0.7</v>
      </c>
      <c r="S27" s="3">
        <v>-0.25</v>
      </c>
      <c r="T27" s="3">
        <v>-0.6</v>
      </c>
      <c r="U27" s="3">
        <v>-0.6</v>
      </c>
      <c r="V27" s="70">
        <v>-1</v>
      </c>
    </row>
    <row r="28" spans="1:22" ht="14.25" x14ac:dyDescent="0.2">
      <c r="O28" s="40"/>
      <c r="P28" s="67"/>
      <c r="Q28" s="58" t="s">
        <v>75</v>
      </c>
      <c r="R28" s="3">
        <v>-0.5</v>
      </c>
      <c r="S28" s="3">
        <v>-0.5</v>
      </c>
      <c r="T28" s="3">
        <v>0.7</v>
      </c>
      <c r="U28" s="3">
        <v>-0.1</v>
      </c>
      <c r="V28" s="70">
        <v>-1</v>
      </c>
    </row>
    <row r="29" spans="1:22" x14ac:dyDescent="0.2">
      <c r="A29" s="183" t="s">
        <v>188</v>
      </c>
      <c r="B29" s="183"/>
      <c r="C29" s="183"/>
      <c r="O29" s="40"/>
      <c r="P29" s="2"/>
      <c r="Q29" s="61"/>
      <c r="R29" s="61"/>
      <c r="S29" s="61"/>
      <c r="T29" s="61"/>
      <c r="U29" s="61"/>
      <c r="V29" s="60"/>
    </row>
    <row r="30" spans="1:22" ht="14.25" x14ac:dyDescent="0.2">
      <c r="O30" s="64"/>
      <c r="P30" s="66" t="s">
        <v>58</v>
      </c>
      <c r="Q30" s="58" t="s">
        <v>74</v>
      </c>
      <c r="R30" s="3">
        <v>0.7</v>
      </c>
      <c r="S30" s="3">
        <v>-0.25</v>
      </c>
      <c r="T30" s="3">
        <v>-0.6</v>
      </c>
      <c r="U30" s="3">
        <v>-0.6</v>
      </c>
      <c r="V30" s="3">
        <v>-1.1000000000000001</v>
      </c>
    </row>
    <row r="31" spans="1:22" ht="14.25" x14ac:dyDescent="0.2">
      <c r="A31" t="s">
        <v>187</v>
      </c>
      <c r="B31">
        <f>+'WL-Single Gable-MBS'!F161</f>
        <v>1.2945718828071768</v>
      </c>
      <c r="O31" s="65"/>
      <c r="P31" s="59"/>
      <c r="Q31" s="58" t="s">
        <v>75</v>
      </c>
      <c r="R31" s="3">
        <v>-0.6</v>
      </c>
      <c r="S31" s="3">
        <v>-0.6</v>
      </c>
      <c r="T31" s="3">
        <v>0.7</v>
      </c>
      <c r="U31" s="3">
        <v>-0.25</v>
      </c>
      <c r="V31" s="3">
        <v>-1.1000000000000001</v>
      </c>
    </row>
    <row r="32" spans="1:22" x14ac:dyDescent="0.2">
      <c r="A32" t="s">
        <v>186</v>
      </c>
      <c r="B32">
        <f>+'WL-Single Gable-MBS'!F162</f>
        <v>3.270497388144447</v>
      </c>
      <c r="O32" s="68" t="s">
        <v>60</v>
      </c>
      <c r="P32" s="59"/>
      <c r="Q32" s="61"/>
      <c r="R32" s="61"/>
      <c r="S32" s="61"/>
      <c r="T32" s="61"/>
      <c r="U32" s="61"/>
      <c r="V32" s="60"/>
    </row>
    <row r="33" spans="1:22" ht="14.25" x14ac:dyDescent="0.2">
      <c r="O33" s="40"/>
      <c r="P33" s="62" t="s">
        <v>59</v>
      </c>
      <c r="Q33" s="58" t="s">
        <v>74</v>
      </c>
      <c r="R33" s="3">
        <v>0.7</v>
      </c>
      <c r="S33" s="3">
        <v>-0.3</v>
      </c>
      <c r="T33" s="3">
        <v>-0.7</v>
      </c>
      <c r="U33" s="3">
        <v>-0.7</v>
      </c>
      <c r="V33" s="3">
        <v>-1.1000000000000001</v>
      </c>
    </row>
    <row r="34" spans="1:22" ht="14.25" x14ac:dyDescent="0.2">
      <c r="A34" s="2" t="s">
        <v>185</v>
      </c>
      <c r="O34" s="40"/>
      <c r="P34" s="67"/>
      <c r="Q34" s="58" t="s">
        <v>75</v>
      </c>
      <c r="R34" s="3">
        <v>-0.5</v>
      </c>
      <c r="S34" s="3">
        <v>-0.5</v>
      </c>
      <c r="T34" s="3">
        <v>0.7</v>
      </c>
      <c r="U34" s="3">
        <v>-0.1</v>
      </c>
      <c r="V34" s="3">
        <v>-1.1000000000000001</v>
      </c>
    </row>
    <row r="35" spans="1:22" x14ac:dyDescent="0.2">
      <c r="A35" t="s">
        <v>183</v>
      </c>
      <c r="O35" s="40"/>
      <c r="P35" s="2"/>
      <c r="Q35" s="61"/>
      <c r="R35" s="61"/>
      <c r="S35" s="61"/>
      <c r="T35" s="61"/>
      <c r="U35" s="61"/>
      <c r="V35" s="60"/>
    </row>
    <row r="36" spans="1:22" ht="14.25" x14ac:dyDescent="0.2">
      <c r="A36" t="s">
        <v>29</v>
      </c>
      <c r="B36">
        <f>IF($B$31&lt;=0.5,IF($B$32&lt;=1.5,R24,R27),IF($B$31&lt;=1.5,IF($B$32&lt;=1.5,R30,R33),IF($B$31&lt;=6,IF($B$32&lt;=1.5,R36,R39),IF($B$32&lt;=1,R42,IF($B$32&lt;=1.5,R45,R48)))))</f>
        <v>0.7</v>
      </c>
      <c r="D36" s="76" t="s">
        <v>252</v>
      </c>
      <c r="E36">
        <f>IF($B$31&lt;=0.5,IF($B$32&lt;=1.5,T24,T27),IF($B$31&lt;=1.5,IF($B$32&lt;=1.5,T30,T33),IF($B$31&lt;=6,IF($B$32&lt;=1.5,T36,T39),IF($B$32&lt;=1,T42,IF($B$32&lt;=1.5,T45,T48)))))</f>
        <v>-0.7</v>
      </c>
      <c r="O36" s="64"/>
      <c r="P36" s="66" t="s">
        <v>58</v>
      </c>
      <c r="Q36" s="58" t="s">
        <v>74</v>
      </c>
      <c r="R36" s="3">
        <v>0.8</v>
      </c>
      <c r="S36" s="3">
        <v>-0.25</v>
      </c>
      <c r="T36" s="3">
        <v>-0.8</v>
      </c>
      <c r="U36" s="3">
        <v>-0.8</v>
      </c>
      <c r="V36" s="3">
        <v>-1.2</v>
      </c>
    </row>
    <row r="37" spans="1:22" ht="14.25" x14ac:dyDescent="0.2">
      <c r="A37" t="s">
        <v>30</v>
      </c>
      <c r="B37">
        <f>IF($B$31&lt;=0.5,IF($B$32&lt;=1.5,S24,S27),IF($B$31&lt;=1.5,IF($B$32&lt;=1.5,S30,S33),IF($B$31&lt;=6,IF($B$32&lt;=1.5,S36,S39),IF($B$32&lt;=1,S42,IF($B$32&lt;=1.5,S45,S48)))))</f>
        <v>-0.3</v>
      </c>
      <c r="D37" s="76" t="s">
        <v>253</v>
      </c>
      <c r="E37">
        <f>IF($B$31&lt;=0.5,IF($B$32&lt;=1.5,U24,U27),IF($B$31&lt;=1.5,IF($B$32&lt;=1.5,U30,U33),IF($B$31&lt;=6,IF($B$32&lt;=1.5,U36,U39),IF($B$32&lt;=1,U42,IF($B$32&lt;=1.5,U45,U48)))))</f>
        <v>-0.7</v>
      </c>
      <c r="O37" s="65"/>
      <c r="P37" s="59"/>
      <c r="Q37" s="58" t="s">
        <v>75</v>
      </c>
      <c r="R37" s="3">
        <v>-0.8</v>
      </c>
      <c r="S37" s="3">
        <v>-0.8</v>
      </c>
      <c r="T37" s="3">
        <v>0.8</v>
      </c>
      <c r="U37" s="3">
        <v>-0.25</v>
      </c>
      <c r="V37" s="3">
        <v>-1.2</v>
      </c>
    </row>
    <row r="38" spans="1:22" x14ac:dyDescent="0.2">
      <c r="O38" s="68" t="s">
        <v>61</v>
      </c>
      <c r="P38" s="59"/>
      <c r="Q38" s="61"/>
      <c r="R38" s="61"/>
      <c r="S38" s="61"/>
      <c r="T38" s="61"/>
      <c r="U38" s="61"/>
      <c r="V38" s="60"/>
    </row>
    <row r="39" spans="1:22" ht="14.25" x14ac:dyDescent="0.2">
      <c r="A39" t="s">
        <v>181</v>
      </c>
      <c r="O39" s="40"/>
      <c r="P39" s="62" t="s">
        <v>59</v>
      </c>
      <c r="Q39" s="58" t="s">
        <v>74</v>
      </c>
      <c r="R39" s="3">
        <v>0.7</v>
      </c>
      <c r="S39" s="3">
        <v>-0.4</v>
      </c>
      <c r="T39" s="3">
        <v>-0.7</v>
      </c>
      <c r="U39" s="3">
        <v>-0.7</v>
      </c>
      <c r="V39" s="3">
        <v>-1.2</v>
      </c>
    </row>
    <row r="40" spans="1:22" ht="14.25" x14ac:dyDescent="0.2">
      <c r="A40" t="s">
        <v>29</v>
      </c>
      <c r="B40">
        <f>IF($B$31&lt;=0.5,IF($B$32&lt;=1.5,R25,R28),IF($B$31&lt;=1.5,IF($B$32&lt;=1.5,R31,R34),IF($B$31&lt;=6,IF($B$32&lt;=1.5,R37,R40),IF($B$32&lt;=1,R43,IF($B$32&lt;=1.5,R46,R49)))))</f>
        <v>-0.5</v>
      </c>
      <c r="D40" s="76" t="s">
        <v>252</v>
      </c>
      <c r="E40">
        <f>IF($B$31&lt;=0.5,IF($B$32&lt;=1.5,T25,T28),IF($B$31&lt;=1.5,IF($B$32&lt;=1.5,T31,T34),IF($B$31&lt;=6,IF($B$32&lt;=1.5,T37,T40),IF($B$32&lt;=1,T43,IF($B$32&lt;=1.5,T46,T49)))))</f>
        <v>0.7</v>
      </c>
      <c r="O40" s="40"/>
      <c r="P40" s="67"/>
      <c r="Q40" s="58" t="s">
        <v>75</v>
      </c>
      <c r="R40" s="3">
        <v>-0.5</v>
      </c>
      <c r="S40" s="3">
        <v>-0.5</v>
      </c>
      <c r="T40" s="3">
        <v>0.8</v>
      </c>
      <c r="U40" s="3">
        <v>-0.1</v>
      </c>
      <c r="V40" s="3">
        <v>-1.2</v>
      </c>
    </row>
    <row r="41" spans="1:22" x14ac:dyDescent="0.2">
      <c r="A41" t="s">
        <v>30</v>
      </c>
      <c r="B41">
        <f>IF($B$31&lt;=0.5,IF($B$32&lt;=1.5,S25,S28),IF($B$31&lt;=1.5,IF($B$32&lt;=1.5,S31,S34),IF($B$31&lt;=6,IF($B$32&lt;=1.5,S37,S40),IF($B$32&lt;=1,S43,IF($B$32&lt;=1.5,S46,S49)))))</f>
        <v>-0.5</v>
      </c>
      <c r="D41" s="76" t="s">
        <v>253</v>
      </c>
      <c r="E41">
        <f>IF($B$31&lt;=0.5,IF($B$32&lt;=1.5,U25,U28),IF($B$31&lt;=1.5,IF($B$32&lt;=1.5,U31,U34),IF($B$31&lt;=6,IF($B$32&lt;=1.5,U37,U40),IF($B$32&lt;=1,U43,IF($B$32&lt;=1.5,U46,U49)))))</f>
        <v>-0.1</v>
      </c>
      <c r="O41" s="40"/>
      <c r="P41" s="2"/>
      <c r="Q41" s="61"/>
      <c r="R41" s="61"/>
      <c r="S41" s="61"/>
      <c r="T41" s="61"/>
      <c r="U41" s="61"/>
      <c r="V41" s="60"/>
    </row>
    <row r="42" spans="1:22" ht="14.25" x14ac:dyDescent="0.2">
      <c r="O42" s="64"/>
      <c r="P42" s="66">
        <v>1.5</v>
      </c>
      <c r="Q42" s="58" t="s">
        <v>74</v>
      </c>
      <c r="R42" s="3">
        <v>0.95</v>
      </c>
      <c r="S42" s="3">
        <v>-1.85</v>
      </c>
      <c r="T42" s="3">
        <v>-0.9</v>
      </c>
      <c r="U42" s="3">
        <v>-0.9</v>
      </c>
      <c r="V42" s="3">
        <v>-1.25</v>
      </c>
    </row>
    <row r="43" spans="1:22" ht="14.25" x14ac:dyDescent="0.2">
      <c r="A43" s="2" t="s">
        <v>184</v>
      </c>
      <c r="O43" s="65"/>
      <c r="P43" s="59"/>
      <c r="Q43" s="58" t="s">
        <v>75</v>
      </c>
      <c r="R43" s="3">
        <v>-0.8</v>
      </c>
      <c r="S43" s="3">
        <v>-0.8</v>
      </c>
      <c r="T43" s="3">
        <v>0.9</v>
      </c>
      <c r="U43" s="3">
        <v>-0.85</v>
      </c>
      <c r="V43" s="3">
        <v>-1.25</v>
      </c>
    </row>
    <row r="44" spans="1:22" x14ac:dyDescent="0.2">
      <c r="O44" s="64"/>
      <c r="P44" s="59"/>
      <c r="Q44" s="61"/>
      <c r="R44" s="61"/>
      <c r="S44" s="61"/>
      <c r="T44" s="61"/>
      <c r="U44" s="61"/>
      <c r="V44" s="60"/>
    </row>
    <row r="45" spans="1:22" ht="15.75" x14ac:dyDescent="0.25">
      <c r="A45" t="s">
        <v>183</v>
      </c>
      <c r="O45" s="63" t="s">
        <v>182</v>
      </c>
      <c r="P45" s="62">
        <v>1</v>
      </c>
      <c r="Q45" s="58" t="s">
        <v>74</v>
      </c>
      <c r="R45" s="3">
        <v>0.95</v>
      </c>
      <c r="S45" s="3">
        <v>-1.25</v>
      </c>
      <c r="T45" s="3">
        <v>-0.7</v>
      </c>
      <c r="U45" s="3">
        <v>-0.7</v>
      </c>
      <c r="V45" s="3">
        <v>-1.25</v>
      </c>
    </row>
    <row r="46" spans="1:22" ht="14.25" x14ac:dyDescent="0.2">
      <c r="A46" t="s">
        <v>167</v>
      </c>
      <c r="B46" s="56">
        <f>ROUNDUP(+'WL-Single Gable-MBS'!D264,3)</f>
        <v>-0.92900000000000005</v>
      </c>
      <c r="O46" s="40"/>
      <c r="P46" s="59"/>
      <c r="Q46" s="58" t="s">
        <v>75</v>
      </c>
      <c r="R46" s="3">
        <v>-0.7</v>
      </c>
      <c r="S46" s="3">
        <v>-0.7</v>
      </c>
      <c r="T46" s="3">
        <v>0.95</v>
      </c>
      <c r="U46" s="3">
        <v>-1.25</v>
      </c>
      <c r="V46" s="3">
        <v>-1.25</v>
      </c>
    </row>
    <row r="47" spans="1:22" x14ac:dyDescent="0.2">
      <c r="A47" t="s">
        <v>180</v>
      </c>
      <c r="B47" s="14">
        <f>+'WL-Single Gable-MBS'!E264</f>
        <v>-0.6</v>
      </c>
      <c r="O47" s="40"/>
      <c r="P47" s="59"/>
      <c r="Q47" s="61"/>
      <c r="R47" s="61"/>
      <c r="S47" s="61"/>
      <c r="T47" s="61"/>
      <c r="U47" s="61"/>
      <c r="V47" s="60"/>
    </row>
    <row r="48" spans="1:22" ht="14.25" x14ac:dyDescent="0.2">
      <c r="B48" s="14"/>
      <c r="O48" s="40"/>
      <c r="P48" s="59">
        <v>2</v>
      </c>
      <c r="Q48" s="58" t="s">
        <v>74</v>
      </c>
      <c r="R48" s="3">
        <v>0.85</v>
      </c>
      <c r="S48" s="3">
        <v>-0.75</v>
      </c>
      <c r="T48" s="3">
        <v>-0.75</v>
      </c>
      <c r="U48" s="3">
        <v>-0.75</v>
      </c>
      <c r="V48" s="3">
        <v>-1.25</v>
      </c>
    </row>
    <row r="49" spans="1:22" ht="14.25" x14ac:dyDescent="0.2">
      <c r="A49" t="s">
        <v>181</v>
      </c>
      <c r="O49" s="54"/>
      <c r="P49" s="20"/>
      <c r="Q49" s="58" t="s">
        <v>75</v>
      </c>
      <c r="R49" s="3">
        <v>-0.75</v>
      </c>
      <c r="S49" s="3">
        <v>-0.75</v>
      </c>
      <c r="T49" s="3">
        <v>0.85</v>
      </c>
      <c r="U49" s="3">
        <v>-0.75</v>
      </c>
      <c r="V49" s="3">
        <v>-1.25</v>
      </c>
    </row>
    <row r="50" spans="1:22" x14ac:dyDescent="0.2">
      <c r="A50" t="s">
        <v>167</v>
      </c>
      <c r="B50" s="14">
        <f>+'WL-Single Gable-MBS'!F264</f>
        <v>-0.88578813725000716</v>
      </c>
    </row>
    <row r="51" spans="1:22" x14ac:dyDescent="0.2">
      <c r="A51" t="s">
        <v>180</v>
      </c>
      <c r="B51" s="14">
        <f>+'WL-Single Gable-MBS'!G264</f>
        <v>-0.6</v>
      </c>
    </row>
    <row r="53" spans="1:22" x14ac:dyDescent="0.2">
      <c r="A53" t="s">
        <v>237</v>
      </c>
    </row>
    <row r="54" spans="1:22" x14ac:dyDescent="0.2">
      <c r="A54" t="s">
        <v>167</v>
      </c>
      <c r="B54" s="56">
        <f>B47</f>
        <v>-0.6</v>
      </c>
      <c r="C54" s="56"/>
    </row>
    <row r="55" spans="1:22" x14ac:dyDescent="0.2">
      <c r="A55" t="s">
        <v>180</v>
      </c>
      <c r="B55" s="56">
        <f>B46</f>
        <v>-0.92900000000000005</v>
      </c>
    </row>
    <row r="57" spans="1:22" x14ac:dyDescent="0.2">
      <c r="A57" s="2" t="s">
        <v>179</v>
      </c>
      <c r="E57" s="57" t="s">
        <v>173</v>
      </c>
      <c r="F57" s="2" t="s">
        <v>172</v>
      </c>
    </row>
    <row r="58" spans="1:22" x14ac:dyDescent="0.2">
      <c r="A58" t="s">
        <v>171</v>
      </c>
      <c r="B58" t="s">
        <v>170</v>
      </c>
    </row>
    <row r="59" spans="1:22" x14ac:dyDescent="0.2">
      <c r="A59" t="s">
        <v>169</v>
      </c>
      <c r="B59" s="56">
        <f>(B36-B27)*B17*B14</f>
        <v>2.3719186968749999</v>
      </c>
      <c r="E59" s="14">
        <f>B36-B27</f>
        <v>0.49999999999999994</v>
      </c>
      <c r="F59" s="56">
        <f>B59/B$17</f>
        <v>0.39531978281249996</v>
      </c>
    </row>
    <row r="60" spans="1:22" x14ac:dyDescent="0.2">
      <c r="A60" t="s">
        <v>168</v>
      </c>
      <c r="B60" s="56">
        <f>(B37-B27)*B17*B14</f>
        <v>-2.3719186968750003</v>
      </c>
      <c r="E60" s="14">
        <f>B37-B27</f>
        <v>-0.5</v>
      </c>
      <c r="F60" s="56">
        <f>B60/B$17</f>
        <v>-0.39531978281250008</v>
      </c>
    </row>
    <row r="61" spans="1:22" x14ac:dyDescent="0.2">
      <c r="A61" t="s">
        <v>167</v>
      </c>
      <c r="B61" s="56">
        <f>(B46-B27)*B17*B14</f>
        <v>-5.3557924175437499</v>
      </c>
      <c r="E61" s="14">
        <f>B46-B27</f>
        <v>-1.129</v>
      </c>
      <c r="F61" s="56">
        <f>B61/B$17</f>
        <v>-0.89263206959062502</v>
      </c>
    </row>
    <row r="62" spans="1:22" x14ac:dyDescent="0.2">
      <c r="A62" t="s">
        <v>166</v>
      </c>
      <c r="B62" s="56">
        <f>(B47-B27)*B17*B14</f>
        <v>-3.7950699150000009</v>
      </c>
      <c r="E62" s="14">
        <f>B47-B27</f>
        <v>-0.8</v>
      </c>
      <c r="F62" s="56">
        <f>B62/B$17</f>
        <v>-0.63251165250000019</v>
      </c>
    </row>
    <row r="63" spans="1:22" x14ac:dyDescent="0.2">
      <c r="A63" s="76" t="s">
        <v>251</v>
      </c>
      <c r="B63" s="56">
        <f>(E36-B27)*B18*B14</f>
        <v>-5.1233443852500002</v>
      </c>
      <c r="E63" s="14">
        <f>E36-B27</f>
        <v>-0.89999999999999991</v>
      </c>
      <c r="F63" s="56">
        <f>B63/B$18</f>
        <v>-0.71157560906250006</v>
      </c>
    </row>
    <row r="64" spans="1:22" x14ac:dyDescent="0.2">
      <c r="A64" s="76" t="s">
        <v>250</v>
      </c>
      <c r="B64" s="56">
        <f>(E37-B27)*B18*B14</f>
        <v>-5.1233443852500002</v>
      </c>
      <c r="E64" s="14">
        <f>E37-B27</f>
        <v>-0.89999999999999991</v>
      </c>
      <c r="F64" s="56">
        <f>B64/B$18</f>
        <v>-0.71157560906250006</v>
      </c>
    </row>
    <row r="65" spans="1:6" x14ac:dyDescent="0.2">
      <c r="B65" s="56"/>
      <c r="E65" s="14"/>
      <c r="F65" s="56"/>
    </row>
    <row r="66" spans="1:6" x14ac:dyDescent="0.2">
      <c r="A66" s="2" t="s">
        <v>178</v>
      </c>
      <c r="B66" s="56"/>
      <c r="E66" s="75" t="s">
        <v>173</v>
      </c>
      <c r="F66" s="2" t="s">
        <v>172</v>
      </c>
    </row>
    <row r="67" spans="1:6" x14ac:dyDescent="0.2">
      <c r="A67" t="s">
        <v>171</v>
      </c>
      <c r="B67" s="56" t="s">
        <v>170</v>
      </c>
      <c r="E67" s="14"/>
      <c r="F67" s="56"/>
    </row>
    <row r="68" spans="1:6" x14ac:dyDescent="0.2">
      <c r="A68" t="s">
        <v>169</v>
      </c>
      <c r="B68" s="56">
        <f>(B36+B27)*B17*B14</f>
        <v>4.2694536543749999</v>
      </c>
      <c r="E68" s="14">
        <f>B36+B27</f>
        <v>0.89999999999999991</v>
      </c>
      <c r="F68" s="56">
        <f>B68/B$17</f>
        <v>0.71157560906249995</v>
      </c>
    </row>
    <row r="69" spans="1:6" x14ac:dyDescent="0.2">
      <c r="A69" t="s">
        <v>168</v>
      </c>
      <c r="B69" s="56">
        <f>(B37+B27)*B17*B14</f>
        <v>-0.47438373937499995</v>
      </c>
      <c r="E69" s="14">
        <f>B37+B27</f>
        <v>-9.9999999999999978E-2</v>
      </c>
      <c r="F69" s="56">
        <f>B69/B$17</f>
        <v>-7.9063956562499996E-2</v>
      </c>
    </row>
    <row r="70" spans="1:6" x14ac:dyDescent="0.2">
      <c r="A70" t="s">
        <v>167</v>
      </c>
      <c r="B70" s="56">
        <f>(B46+B27)*B17*B14</f>
        <v>-3.4582574600437508</v>
      </c>
      <c r="E70" s="14">
        <f>B46+B27</f>
        <v>-0.72900000000000009</v>
      </c>
      <c r="F70" s="56">
        <f>B70/B$17</f>
        <v>-0.57637624334062509</v>
      </c>
    </row>
    <row r="71" spans="1:6" x14ac:dyDescent="0.2">
      <c r="A71" t="s">
        <v>166</v>
      </c>
      <c r="B71" s="56">
        <f>(B47+B27)*B17*B14</f>
        <v>-1.8975349575</v>
      </c>
      <c r="E71" s="14">
        <f>B47+B27</f>
        <v>-0.39999999999999997</v>
      </c>
      <c r="F71" s="56">
        <f>B71/B$17</f>
        <v>-0.31625582624999998</v>
      </c>
    </row>
    <row r="72" spans="1:6" x14ac:dyDescent="0.2">
      <c r="A72" s="76" t="s">
        <v>251</v>
      </c>
      <c r="B72" s="56">
        <f>(E36+B27)*B18*B14</f>
        <v>-2.8463024362499998</v>
      </c>
      <c r="E72" s="14"/>
      <c r="F72" s="56"/>
    </row>
    <row r="73" spans="1:6" x14ac:dyDescent="0.2">
      <c r="A73" s="76" t="s">
        <v>250</v>
      </c>
      <c r="B73" s="56">
        <f>(E37+B27)*B18*B14</f>
        <v>-2.8463024362499998</v>
      </c>
      <c r="E73" s="14"/>
      <c r="F73" s="56"/>
    </row>
    <row r="74" spans="1:6" x14ac:dyDescent="0.2">
      <c r="B74" s="56"/>
      <c r="E74" s="14"/>
    </row>
    <row r="75" spans="1:6" x14ac:dyDescent="0.2">
      <c r="A75" s="2" t="s">
        <v>177</v>
      </c>
      <c r="B75" s="56"/>
      <c r="E75" s="75" t="s">
        <v>173</v>
      </c>
      <c r="F75" s="2" t="s">
        <v>172</v>
      </c>
    </row>
    <row r="76" spans="1:6" x14ac:dyDescent="0.2">
      <c r="A76" t="s">
        <v>171</v>
      </c>
      <c r="B76" s="56" t="s">
        <v>170</v>
      </c>
      <c r="E76" s="14"/>
    </row>
    <row r="77" spans="1:6" x14ac:dyDescent="0.2">
      <c r="A77" t="s">
        <v>169</v>
      </c>
      <c r="B77" s="56">
        <f>(B37-B27)*B17*B14</f>
        <v>-2.3719186968750003</v>
      </c>
      <c r="E77" s="14">
        <f>B37-B27</f>
        <v>-0.5</v>
      </c>
      <c r="F77" s="56">
        <f t="shared" ref="F77:F82" si="0">B77/B$17</f>
        <v>-0.39531978281250008</v>
      </c>
    </row>
    <row r="78" spans="1:6" x14ac:dyDescent="0.2">
      <c r="A78" t="s">
        <v>168</v>
      </c>
      <c r="B78" s="56">
        <f>(B36-B27)*B17*B14</f>
        <v>2.3719186968749999</v>
      </c>
      <c r="E78" s="14">
        <f>B36-B27</f>
        <v>0.49999999999999994</v>
      </c>
      <c r="F78" s="56">
        <f t="shared" si="0"/>
        <v>0.39531978281249996</v>
      </c>
    </row>
    <row r="79" spans="1:6" x14ac:dyDescent="0.2">
      <c r="A79" t="s">
        <v>167</v>
      </c>
      <c r="B79" s="56">
        <f>(B47-B27)*B17*B14</f>
        <v>-3.7950699150000009</v>
      </c>
      <c r="E79" s="14">
        <f>B54-B27</f>
        <v>-0.8</v>
      </c>
      <c r="F79" s="56">
        <f t="shared" si="0"/>
        <v>-0.63251165250000019</v>
      </c>
    </row>
    <row r="80" spans="1:6" x14ac:dyDescent="0.2">
      <c r="A80" t="s">
        <v>166</v>
      </c>
      <c r="B80" s="56">
        <f>E80*B$17*B$14</f>
        <v>-5.3557924175437499</v>
      </c>
      <c r="E80" s="14">
        <f>B55-B27</f>
        <v>-1.129</v>
      </c>
      <c r="F80" s="56">
        <f t="shared" si="0"/>
        <v>-0.89263206959062502</v>
      </c>
    </row>
    <row r="81" spans="1:6" x14ac:dyDescent="0.2">
      <c r="A81" s="76" t="s">
        <v>251</v>
      </c>
      <c r="B81" s="56">
        <f>(E36-B27)*B18*B14</f>
        <v>-5.1233443852500002</v>
      </c>
      <c r="E81" s="14"/>
      <c r="F81" s="56">
        <f t="shared" si="0"/>
        <v>-0.853890730875</v>
      </c>
    </row>
    <row r="82" spans="1:6" x14ac:dyDescent="0.2">
      <c r="A82" s="76" t="s">
        <v>250</v>
      </c>
      <c r="B82" s="56">
        <f>(E37-B27)*B18*B14</f>
        <v>-5.1233443852500002</v>
      </c>
      <c r="E82" s="14"/>
      <c r="F82" s="56">
        <f t="shared" si="0"/>
        <v>-0.853890730875</v>
      </c>
    </row>
    <row r="83" spans="1:6" x14ac:dyDescent="0.2">
      <c r="B83" s="56"/>
      <c r="E83" s="14"/>
    </row>
    <row r="84" spans="1:6" x14ac:dyDescent="0.2">
      <c r="A84" s="2" t="s">
        <v>176</v>
      </c>
      <c r="B84" s="56"/>
      <c r="E84" s="75" t="s">
        <v>173</v>
      </c>
      <c r="F84" s="2" t="s">
        <v>172</v>
      </c>
    </row>
    <row r="85" spans="1:6" x14ac:dyDescent="0.2">
      <c r="A85" t="s">
        <v>171</v>
      </c>
      <c r="B85" s="56" t="s">
        <v>170</v>
      </c>
      <c r="E85" s="14"/>
    </row>
    <row r="86" spans="1:6" x14ac:dyDescent="0.2">
      <c r="A86" t="s">
        <v>169</v>
      </c>
      <c r="B86" s="56">
        <f>(B37+B27)*B17*B14</f>
        <v>-0.47438373937499995</v>
      </c>
      <c r="E86" s="14">
        <f>B37+B27</f>
        <v>-9.9999999999999978E-2</v>
      </c>
      <c r="F86" s="56">
        <f>B86/B$17</f>
        <v>-7.9063956562499996E-2</v>
      </c>
    </row>
    <row r="87" spans="1:6" x14ac:dyDescent="0.2">
      <c r="A87" t="s">
        <v>168</v>
      </c>
      <c r="B87" s="56">
        <f>(B36+B27)*B17*B14</f>
        <v>4.2694536543749999</v>
      </c>
      <c r="E87" s="14">
        <f>B36+B27</f>
        <v>0.89999999999999991</v>
      </c>
      <c r="F87" s="56">
        <f>B87/B$17</f>
        <v>0.71157560906249995</v>
      </c>
    </row>
    <row r="88" spans="1:6" x14ac:dyDescent="0.2">
      <c r="A88" t="s">
        <v>167</v>
      </c>
      <c r="B88" s="56">
        <f>(B47+B27)*B17*B14</f>
        <v>-1.8975349575</v>
      </c>
      <c r="E88" s="14">
        <f>B54+B27</f>
        <v>-0.39999999999999997</v>
      </c>
      <c r="F88" s="56">
        <f>B88/B$17</f>
        <v>-0.31625582624999998</v>
      </c>
    </row>
    <row r="89" spans="1:6" x14ac:dyDescent="0.2">
      <c r="A89" t="s">
        <v>166</v>
      </c>
      <c r="B89" s="56">
        <f>(B46+B27)*B17*B14</f>
        <v>-3.4582574600437508</v>
      </c>
      <c r="E89" s="14">
        <f>B55+B27</f>
        <v>-0.72900000000000009</v>
      </c>
      <c r="F89" s="56">
        <f>B89/B$17</f>
        <v>-0.57637624334062509</v>
      </c>
    </row>
    <row r="90" spans="1:6" x14ac:dyDescent="0.2">
      <c r="A90" s="76" t="s">
        <v>251</v>
      </c>
      <c r="B90" s="56">
        <f>(E36+B27)*B18*B14</f>
        <v>-2.8463024362499998</v>
      </c>
      <c r="E90" s="14"/>
      <c r="F90" s="56"/>
    </row>
    <row r="91" spans="1:6" x14ac:dyDescent="0.2">
      <c r="A91" s="76" t="s">
        <v>250</v>
      </c>
      <c r="B91" s="56">
        <f>(E37+B27)*B18*B14</f>
        <v>-2.8463024362499998</v>
      </c>
      <c r="E91" s="14"/>
      <c r="F91" s="56"/>
    </row>
    <row r="92" spans="1:6" x14ac:dyDescent="0.2">
      <c r="B92" s="56"/>
      <c r="E92" s="14"/>
    </row>
    <row r="93" spans="1:6" x14ac:dyDescent="0.2">
      <c r="A93" s="2" t="s">
        <v>175</v>
      </c>
      <c r="B93" s="56"/>
      <c r="E93" s="75" t="s">
        <v>173</v>
      </c>
      <c r="F93" s="2" t="s">
        <v>172</v>
      </c>
    </row>
    <row r="94" spans="1:6" x14ac:dyDescent="0.2">
      <c r="A94" t="s">
        <v>171</v>
      </c>
      <c r="B94" s="56" t="s">
        <v>170</v>
      </c>
      <c r="E94" s="14"/>
    </row>
    <row r="95" spans="1:6" x14ac:dyDescent="0.2">
      <c r="A95" t="s">
        <v>169</v>
      </c>
      <c r="B95" s="56">
        <f>(B40-B27)*B$17*B$14</f>
        <v>-3.3206861756249997</v>
      </c>
      <c r="E95" s="14">
        <f>B40-B27</f>
        <v>-0.7</v>
      </c>
      <c r="F95" s="56">
        <f>B95/B$17</f>
        <v>-0.55344769593749998</v>
      </c>
    </row>
    <row r="96" spans="1:6" x14ac:dyDescent="0.2">
      <c r="A96" t="s">
        <v>168</v>
      </c>
      <c r="B96" s="56">
        <f>(B41-B27)*B$17*B$14</f>
        <v>-3.3206861756249997</v>
      </c>
      <c r="E96" s="14">
        <f>B41-B27</f>
        <v>-0.7</v>
      </c>
      <c r="F96" s="56">
        <f>B96/B$17</f>
        <v>-0.55344769593749998</v>
      </c>
    </row>
    <row r="97" spans="1:6" x14ac:dyDescent="0.2">
      <c r="A97" t="s">
        <v>167</v>
      </c>
      <c r="B97" s="56">
        <f>(B50-B27)*B$17*B$14</f>
        <v>-5.150802367176742</v>
      </c>
      <c r="E97" s="14">
        <f>B50-B27</f>
        <v>-1.0857881372500071</v>
      </c>
      <c r="F97" s="56">
        <f>B97/B$17</f>
        <v>-0.8584670611961237</v>
      </c>
    </row>
    <row r="98" spans="1:6" x14ac:dyDescent="0.2">
      <c r="A98" t="s">
        <v>166</v>
      </c>
      <c r="B98" s="56">
        <f>(B50-B27)*B$17*B$14</f>
        <v>-5.150802367176742</v>
      </c>
      <c r="E98" s="14">
        <f>B50-B27</f>
        <v>-1.0857881372500071</v>
      </c>
      <c r="F98" s="56">
        <f>B98/B$17</f>
        <v>-0.8584670611961237</v>
      </c>
    </row>
    <row r="99" spans="1:6" x14ac:dyDescent="0.2">
      <c r="A99" s="76" t="s">
        <v>251</v>
      </c>
      <c r="B99" s="56">
        <f>(E40-B27)*B18*B14</f>
        <v>2.8463024362499998</v>
      </c>
      <c r="E99" s="14"/>
      <c r="F99" s="56"/>
    </row>
    <row r="100" spans="1:6" x14ac:dyDescent="0.2">
      <c r="A100" s="76" t="s">
        <v>250</v>
      </c>
      <c r="B100" s="56">
        <f>(E41-B27)*B18*B14</f>
        <v>-1.7077814617500005</v>
      </c>
      <c r="E100" s="14"/>
      <c r="F100" s="56"/>
    </row>
    <row r="101" spans="1:6" x14ac:dyDescent="0.2">
      <c r="B101" s="56"/>
      <c r="E101" s="14"/>
    </row>
    <row r="102" spans="1:6" s="76" customFormat="1" x14ac:dyDescent="0.2">
      <c r="A102" s="2" t="s">
        <v>174</v>
      </c>
      <c r="B102" s="84"/>
      <c r="E102" s="75" t="s">
        <v>173</v>
      </c>
      <c r="F102" s="2" t="s">
        <v>172</v>
      </c>
    </row>
    <row r="103" spans="1:6" x14ac:dyDescent="0.2">
      <c r="A103" t="s">
        <v>171</v>
      </c>
      <c r="B103" s="56" t="s">
        <v>170</v>
      </c>
      <c r="E103" s="14"/>
    </row>
    <row r="104" spans="1:6" x14ac:dyDescent="0.2">
      <c r="A104" t="s">
        <v>169</v>
      </c>
      <c r="B104" s="56">
        <f>E104*B$17*B$14</f>
        <v>-1.4231512181249999</v>
      </c>
      <c r="E104" s="14">
        <f>B40+B27</f>
        <v>-0.3</v>
      </c>
      <c r="F104" s="56">
        <f t="shared" ref="F104:F109" si="1">B104/B$17</f>
        <v>-0.23719186968749997</v>
      </c>
    </row>
    <row r="105" spans="1:6" x14ac:dyDescent="0.2">
      <c r="A105" t="s">
        <v>168</v>
      </c>
      <c r="B105" s="56">
        <f>E105*B$17*B$14</f>
        <v>-1.4231512181249999</v>
      </c>
      <c r="E105" s="14">
        <f>B41+B27</f>
        <v>-0.3</v>
      </c>
      <c r="F105" s="56">
        <f t="shared" si="1"/>
        <v>-0.23719186968749997</v>
      </c>
    </row>
    <row r="106" spans="1:6" x14ac:dyDescent="0.2">
      <c r="A106" t="s">
        <v>167</v>
      </c>
      <c r="B106" s="56">
        <f>E106*B$17*B$14</f>
        <v>-3.2532674096767411</v>
      </c>
      <c r="E106" s="14">
        <f>B50+B27</f>
        <v>-0.6857881372500072</v>
      </c>
      <c r="F106" s="56">
        <f t="shared" si="1"/>
        <v>-0.54221123494612355</v>
      </c>
    </row>
    <row r="107" spans="1:6" x14ac:dyDescent="0.2">
      <c r="A107" t="s">
        <v>166</v>
      </c>
      <c r="B107" s="56">
        <f>E107*B$17*B$14</f>
        <v>-3.2532674096767411</v>
      </c>
      <c r="E107" s="14">
        <f>B50+B27</f>
        <v>-0.6857881372500072</v>
      </c>
      <c r="F107" s="56">
        <f t="shared" si="1"/>
        <v>-0.54221123494612355</v>
      </c>
    </row>
    <row r="108" spans="1:6" x14ac:dyDescent="0.2">
      <c r="A108" s="76" t="s">
        <v>251</v>
      </c>
      <c r="B108" s="56">
        <f>(E40+B27)*B18*B14</f>
        <v>5.1233443852500002</v>
      </c>
      <c r="E108" s="14"/>
      <c r="F108" s="56">
        <f t="shared" si="1"/>
        <v>0.853890730875</v>
      </c>
    </row>
    <row r="109" spans="1:6" x14ac:dyDescent="0.2">
      <c r="A109" s="76" t="s">
        <v>250</v>
      </c>
      <c r="B109" s="56">
        <f>(E41+B27)*B18*B14</f>
        <v>0.56926048725000011</v>
      </c>
      <c r="E109" s="14"/>
      <c r="F109" s="56">
        <f t="shared" si="1"/>
        <v>9.4876747875000014E-2</v>
      </c>
    </row>
  </sheetData>
  <mergeCells count="3">
    <mergeCell ref="O21:V21"/>
    <mergeCell ref="A19:C19"/>
    <mergeCell ref="A29:C29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4"/>
  <sheetViews>
    <sheetView tabSelected="1" view="pageBreakPreview" topLeftCell="A56" zoomScale="115" zoomScaleSheetLayoutView="115" workbookViewId="0">
      <selection activeCell="E75" sqref="E75"/>
    </sheetView>
  </sheetViews>
  <sheetFormatPr defaultRowHeight="12.75" x14ac:dyDescent="0.2"/>
  <cols>
    <col min="1" max="1" width="6.42578125" customWidth="1"/>
    <col min="2" max="2" width="16.42578125" customWidth="1"/>
    <col min="3" max="3" width="13" customWidth="1"/>
    <col min="4" max="4" width="11.42578125" customWidth="1"/>
    <col min="5" max="5" width="14" customWidth="1"/>
    <col min="6" max="6" width="7" customWidth="1"/>
    <col min="7" max="7" width="6.85546875" customWidth="1"/>
  </cols>
  <sheetData>
    <row r="1" spans="1:9" ht="28.5" customHeight="1" x14ac:dyDescent="0.2"/>
    <row r="2" spans="1:9" ht="41.25" customHeight="1" x14ac:dyDescent="0.2">
      <c r="B2" s="2" t="s">
        <v>226</v>
      </c>
    </row>
    <row r="3" spans="1:9" ht="24" customHeight="1" x14ac:dyDescent="0.2"/>
    <row r="4" spans="1:9" ht="15.75" customHeight="1" x14ac:dyDescent="0.2">
      <c r="B4" t="s">
        <v>227</v>
      </c>
      <c r="E4" s="77">
        <f>'WL-Single Gable-MBS'!I7</f>
        <v>6</v>
      </c>
    </row>
    <row r="5" spans="1:9" ht="33" customHeight="1" x14ac:dyDescent="0.2"/>
    <row r="6" spans="1:9" ht="27.75" customHeight="1" x14ac:dyDescent="0.2">
      <c r="B6" s="155" t="s">
        <v>225</v>
      </c>
      <c r="C6" s="155"/>
      <c r="D6" s="155"/>
      <c r="E6" s="77">
        <v>7</v>
      </c>
    </row>
    <row r="7" spans="1:9" ht="30.75" customHeight="1" x14ac:dyDescent="0.2">
      <c r="B7" t="s">
        <v>224</v>
      </c>
      <c r="E7" s="77">
        <v>1</v>
      </c>
      <c r="I7" t="s">
        <v>228</v>
      </c>
    </row>
    <row r="8" spans="1:9" ht="24" customHeight="1" x14ac:dyDescent="0.2">
      <c r="B8" t="s">
        <v>223</v>
      </c>
      <c r="E8" s="78">
        <v>3</v>
      </c>
    </row>
    <row r="9" spans="1:9" ht="15" customHeight="1" x14ac:dyDescent="0.2">
      <c r="B9" t="s">
        <v>222</v>
      </c>
      <c r="E9" s="78">
        <v>4</v>
      </c>
    </row>
    <row r="10" spans="1:9" ht="22.5" customHeight="1" x14ac:dyDescent="0.2">
      <c r="B10" t="s">
        <v>221</v>
      </c>
      <c r="E10" s="77">
        <v>2</v>
      </c>
    </row>
    <row r="11" spans="1:9" ht="24.75" customHeight="1" thickBot="1" x14ac:dyDescent="0.25"/>
    <row r="12" spans="1:9" ht="21.6" customHeight="1" x14ac:dyDescent="0.2">
      <c r="A12" s="151"/>
      <c r="B12" s="156" t="s">
        <v>256</v>
      </c>
      <c r="C12" s="156"/>
      <c r="D12" s="156"/>
      <c r="E12" s="156"/>
      <c r="F12" s="157"/>
    </row>
    <row r="13" spans="1:9" x14ac:dyDescent="0.2">
      <c r="A13" s="106"/>
      <c r="B13" s="152" t="s">
        <v>220</v>
      </c>
      <c r="C13" s="152"/>
      <c r="D13" s="152"/>
      <c r="E13" s="152"/>
      <c r="F13" s="153"/>
    </row>
    <row r="14" spans="1:9" ht="20.25" customHeight="1" x14ac:dyDescent="0.2">
      <c r="A14" s="106"/>
      <c r="B14" s="142" t="str">
        <f>CONCATENATE("LOAD  ", E6," LOADTYPE Wind  TITLE WL1")</f>
        <v>LOAD  7 LOADTYPE Wind  TITLE WL1</v>
      </c>
      <c r="C14" s="142"/>
      <c r="D14" s="142"/>
      <c r="E14" s="142"/>
      <c r="F14" s="143"/>
    </row>
    <row r="15" spans="1:9" x14ac:dyDescent="0.2">
      <c r="A15" s="106"/>
      <c r="B15" s="152" t="s">
        <v>217</v>
      </c>
      <c r="C15" s="152"/>
      <c r="D15" s="152"/>
      <c r="E15" s="152"/>
      <c r="F15" s="153"/>
    </row>
    <row r="16" spans="1:9" x14ac:dyDescent="0.2">
      <c r="A16" s="106"/>
      <c r="B16" s="144">
        <f>$E$7</f>
        <v>1</v>
      </c>
      <c r="C16" s="145" t="s">
        <v>215</v>
      </c>
      <c r="D16" s="145" t="s">
        <v>214</v>
      </c>
      <c r="E16" s="146">
        <f>Sheet1!B59</f>
        <v>2.3719186968749999</v>
      </c>
      <c r="F16" s="147"/>
    </row>
    <row r="17" spans="1:6" x14ac:dyDescent="0.2">
      <c r="A17" s="106"/>
      <c r="B17" s="144">
        <f>$E$8</f>
        <v>3</v>
      </c>
      <c r="C17" s="145" t="s">
        <v>215</v>
      </c>
      <c r="D17" s="145" t="s">
        <v>216</v>
      </c>
      <c r="E17" s="146">
        <f>-Sheet1!B61</f>
        <v>5.3557924175437499</v>
      </c>
      <c r="F17" s="147"/>
    </row>
    <row r="18" spans="1:6" x14ac:dyDescent="0.2">
      <c r="A18" s="106"/>
      <c r="B18" s="144">
        <f>$E$9</f>
        <v>4</v>
      </c>
      <c r="C18" s="145" t="s">
        <v>215</v>
      </c>
      <c r="D18" s="145" t="s">
        <v>216</v>
      </c>
      <c r="E18" s="146">
        <f>-Sheet1!B62</f>
        <v>3.7950699150000009</v>
      </c>
      <c r="F18" s="147"/>
    </row>
    <row r="19" spans="1:6" ht="15.75" customHeight="1" x14ac:dyDescent="0.2">
      <c r="A19" s="106"/>
      <c r="B19" s="144">
        <f>$E$10</f>
        <v>2</v>
      </c>
      <c r="C19" s="145" t="s">
        <v>215</v>
      </c>
      <c r="D19" s="145" t="s">
        <v>214</v>
      </c>
      <c r="E19" s="146">
        <f>-Sheet1!B60</f>
        <v>2.3719186968750003</v>
      </c>
      <c r="F19" s="147"/>
    </row>
    <row r="20" spans="1:6" ht="15.75" customHeight="1" x14ac:dyDescent="0.2">
      <c r="A20" s="106"/>
      <c r="B20" s="144"/>
      <c r="C20" s="145"/>
      <c r="D20" s="145"/>
      <c r="E20" s="146"/>
      <c r="F20" s="147"/>
    </row>
    <row r="21" spans="1:6" ht="15" customHeight="1" x14ac:dyDescent="0.2">
      <c r="A21" s="106"/>
      <c r="B21" s="144"/>
      <c r="C21" s="145"/>
      <c r="D21" s="145"/>
      <c r="E21" s="146"/>
      <c r="F21" s="147"/>
    </row>
    <row r="22" spans="1:6" ht="13.5" customHeight="1" x14ac:dyDescent="0.2">
      <c r="A22" s="106"/>
      <c r="B22" s="152" t="s">
        <v>218</v>
      </c>
      <c r="C22" s="152"/>
      <c r="D22" s="152"/>
      <c r="E22" s="152"/>
      <c r="F22" s="153"/>
    </row>
    <row r="23" spans="1:6" ht="15.75" customHeight="1" x14ac:dyDescent="0.2">
      <c r="A23" s="106"/>
      <c r="B23" s="142" t="str">
        <f>CONCATENATE("LOAD  ", $E$6+1," LOADTYPE Wind  TITLE WL2")</f>
        <v>LOAD  8 LOADTYPE Wind  TITLE WL2</v>
      </c>
      <c r="C23" s="142"/>
      <c r="D23" s="142"/>
      <c r="E23" s="142"/>
      <c r="F23" s="143"/>
    </row>
    <row r="24" spans="1:6" x14ac:dyDescent="0.2">
      <c r="A24" s="106"/>
      <c r="B24" s="152" t="s">
        <v>217</v>
      </c>
      <c r="C24" s="152"/>
      <c r="D24" s="152"/>
      <c r="E24" s="152"/>
      <c r="F24" s="153"/>
    </row>
    <row r="25" spans="1:6" x14ac:dyDescent="0.2">
      <c r="A25" s="106"/>
      <c r="B25" s="144">
        <f>$E$7</f>
        <v>1</v>
      </c>
      <c r="C25" s="145" t="s">
        <v>215</v>
      </c>
      <c r="D25" s="145" t="s">
        <v>214</v>
      </c>
      <c r="E25" s="146">
        <f>Sheet1!B77</f>
        <v>-2.3719186968750003</v>
      </c>
      <c r="F25" s="147"/>
    </row>
    <row r="26" spans="1:6" x14ac:dyDescent="0.2">
      <c r="A26" s="106"/>
      <c r="B26" s="144">
        <f>$E$8</f>
        <v>3</v>
      </c>
      <c r="C26" s="145" t="s">
        <v>215</v>
      </c>
      <c r="D26" s="145" t="s">
        <v>216</v>
      </c>
      <c r="E26" s="146">
        <f>-Sheet1!B79</f>
        <v>3.7950699150000009</v>
      </c>
      <c r="F26" s="147"/>
    </row>
    <row r="27" spans="1:6" x14ac:dyDescent="0.2">
      <c r="A27" s="106"/>
      <c r="B27" s="144">
        <f>$E$9</f>
        <v>4</v>
      </c>
      <c r="C27" s="145" t="s">
        <v>215</v>
      </c>
      <c r="D27" s="145" t="s">
        <v>216</v>
      </c>
      <c r="E27" s="146">
        <f>-Sheet1!B80</f>
        <v>5.3557924175437499</v>
      </c>
      <c r="F27" s="147"/>
    </row>
    <row r="28" spans="1:6" x14ac:dyDescent="0.2">
      <c r="A28" s="106"/>
      <c r="B28" s="144">
        <f>$E$10</f>
        <v>2</v>
      </c>
      <c r="C28" s="145" t="s">
        <v>215</v>
      </c>
      <c r="D28" s="145" t="s">
        <v>214</v>
      </c>
      <c r="E28" s="146">
        <f>-Sheet1!B78</f>
        <v>-2.3719186968749999</v>
      </c>
      <c r="F28" s="147"/>
    </row>
    <row r="29" spans="1:6" x14ac:dyDescent="0.2">
      <c r="A29" s="106"/>
      <c r="B29" s="144"/>
      <c r="C29" s="145"/>
      <c r="D29" s="145"/>
      <c r="E29" s="146"/>
      <c r="F29" s="147"/>
    </row>
    <row r="30" spans="1:6" x14ac:dyDescent="0.2">
      <c r="A30" s="106"/>
      <c r="B30" s="144"/>
      <c r="C30" s="145"/>
      <c r="D30" s="145"/>
      <c r="E30" s="146"/>
      <c r="F30" s="147"/>
    </row>
    <row r="31" spans="1:6" x14ac:dyDescent="0.2">
      <c r="A31" s="106"/>
      <c r="B31" s="152" t="s">
        <v>219</v>
      </c>
      <c r="C31" s="152"/>
      <c r="D31" s="152"/>
      <c r="E31" s="152"/>
      <c r="F31" s="153"/>
    </row>
    <row r="32" spans="1:6" ht="12" customHeight="1" x14ac:dyDescent="0.2">
      <c r="A32" s="106"/>
      <c r="B32" s="142" t="str">
        <f>CONCATENATE("LOAD  ", $E$6+2," LOADTYPE Wind  TITLE WL3")</f>
        <v>LOAD  9 LOADTYPE Wind  TITLE WL3</v>
      </c>
      <c r="C32" s="142"/>
      <c r="D32" s="142"/>
      <c r="E32" s="142"/>
      <c r="F32" s="143"/>
    </row>
    <row r="33" spans="1:6" x14ac:dyDescent="0.2">
      <c r="A33" s="106"/>
      <c r="B33" s="152" t="s">
        <v>217</v>
      </c>
      <c r="C33" s="152"/>
      <c r="D33" s="152"/>
      <c r="E33" s="152"/>
      <c r="F33" s="153"/>
    </row>
    <row r="34" spans="1:6" x14ac:dyDescent="0.2">
      <c r="A34" s="106"/>
      <c r="B34" s="144">
        <f>$E$7</f>
        <v>1</v>
      </c>
      <c r="C34" s="145" t="s">
        <v>215</v>
      </c>
      <c r="D34" s="145" t="s">
        <v>214</v>
      </c>
      <c r="E34" s="146">
        <f>Sheet1!B68</f>
        <v>4.2694536543749999</v>
      </c>
      <c r="F34" s="147"/>
    </row>
    <row r="35" spans="1:6" x14ac:dyDescent="0.2">
      <c r="A35" s="106"/>
      <c r="B35" s="144">
        <f>$E$8</f>
        <v>3</v>
      </c>
      <c r="C35" s="145" t="s">
        <v>215</v>
      </c>
      <c r="D35" s="145" t="s">
        <v>216</v>
      </c>
      <c r="E35" s="146">
        <f>-Sheet1!B70</f>
        <v>3.4582574600437508</v>
      </c>
      <c r="F35" s="147"/>
    </row>
    <row r="36" spans="1:6" x14ac:dyDescent="0.2">
      <c r="A36" s="106"/>
      <c r="B36" s="144">
        <f>$E$9</f>
        <v>4</v>
      </c>
      <c r="C36" s="145" t="s">
        <v>215</v>
      </c>
      <c r="D36" s="145" t="s">
        <v>216</v>
      </c>
      <c r="E36" s="146">
        <f>-Sheet1!B71</f>
        <v>1.8975349575</v>
      </c>
      <c r="F36" s="147"/>
    </row>
    <row r="37" spans="1:6" x14ac:dyDescent="0.2">
      <c r="A37" s="106"/>
      <c r="B37" s="144">
        <f>$E$10</f>
        <v>2</v>
      </c>
      <c r="C37" s="145" t="s">
        <v>215</v>
      </c>
      <c r="D37" s="145" t="s">
        <v>214</v>
      </c>
      <c r="E37" s="146">
        <f>-Sheet1!B69</f>
        <v>0.47438373937499995</v>
      </c>
      <c r="F37" s="147"/>
    </row>
    <row r="38" spans="1:6" x14ac:dyDescent="0.2">
      <c r="A38" s="106"/>
      <c r="B38" s="144"/>
      <c r="C38" s="145"/>
      <c r="D38" s="145"/>
      <c r="E38" s="146"/>
      <c r="F38" s="147"/>
    </row>
    <row r="39" spans="1:6" x14ac:dyDescent="0.2">
      <c r="A39" s="106"/>
      <c r="B39" s="144"/>
      <c r="C39" s="145"/>
      <c r="D39" s="145"/>
      <c r="E39" s="146"/>
      <c r="F39" s="147"/>
    </row>
    <row r="40" spans="1:6" x14ac:dyDescent="0.2">
      <c r="A40" s="106"/>
      <c r="B40" s="154" t="s">
        <v>262</v>
      </c>
      <c r="C40" s="152"/>
      <c r="D40" s="152"/>
      <c r="E40" s="152"/>
      <c r="F40" s="153"/>
    </row>
    <row r="41" spans="1:6" ht="18" customHeight="1" x14ac:dyDescent="0.2">
      <c r="A41" s="106"/>
      <c r="B41" s="142" t="str">
        <f>CONCATENATE("LOAD  ", $E$6+3," LOADTYPE Wind  TITLE WL4")</f>
        <v>LOAD  10 LOADTYPE Wind  TITLE WL4</v>
      </c>
      <c r="C41" s="142"/>
      <c r="D41" s="142"/>
      <c r="E41" s="142"/>
      <c r="F41" s="143"/>
    </row>
    <row r="42" spans="1:6" x14ac:dyDescent="0.2">
      <c r="A42" s="106"/>
      <c r="B42" s="152" t="s">
        <v>217</v>
      </c>
      <c r="C42" s="152"/>
      <c r="D42" s="152"/>
      <c r="E42" s="152"/>
      <c r="F42" s="153"/>
    </row>
    <row r="43" spans="1:6" x14ac:dyDescent="0.2">
      <c r="A43" s="106"/>
      <c r="B43" s="144">
        <f>$E$7</f>
        <v>1</v>
      </c>
      <c r="C43" s="145" t="s">
        <v>215</v>
      </c>
      <c r="D43" s="145" t="s">
        <v>214</v>
      </c>
      <c r="E43" s="146">
        <f>Sheet1!B86</f>
        <v>-0.47438373937499995</v>
      </c>
      <c r="F43" s="147"/>
    </row>
    <row r="44" spans="1:6" x14ac:dyDescent="0.2">
      <c r="A44" s="106"/>
      <c r="B44" s="144">
        <f>$E$8</f>
        <v>3</v>
      </c>
      <c r="C44" s="145" t="s">
        <v>215</v>
      </c>
      <c r="D44" s="145" t="s">
        <v>216</v>
      </c>
      <c r="E44" s="146">
        <f>-Sheet1!B88</f>
        <v>1.8975349575</v>
      </c>
      <c r="F44" s="147"/>
    </row>
    <row r="45" spans="1:6" x14ac:dyDescent="0.2">
      <c r="A45" s="106"/>
      <c r="B45" s="144">
        <f>$E$9</f>
        <v>4</v>
      </c>
      <c r="C45" s="145" t="s">
        <v>215</v>
      </c>
      <c r="D45" s="145" t="s">
        <v>216</v>
      </c>
      <c r="E45" s="146">
        <f>-Sheet1!B89</f>
        <v>3.4582574600437508</v>
      </c>
      <c r="F45" s="147"/>
    </row>
    <row r="46" spans="1:6" x14ac:dyDescent="0.2">
      <c r="A46" s="106"/>
      <c r="B46" s="144">
        <f>$E$10</f>
        <v>2</v>
      </c>
      <c r="C46" s="145" t="s">
        <v>215</v>
      </c>
      <c r="D46" s="145" t="s">
        <v>214</v>
      </c>
      <c r="E46" s="146">
        <f>-Sheet1!B87</f>
        <v>-4.2694536543749999</v>
      </c>
      <c r="F46" s="147"/>
    </row>
    <row r="47" spans="1:6" x14ac:dyDescent="0.2">
      <c r="A47" s="106"/>
      <c r="B47" s="144"/>
      <c r="C47" s="145"/>
      <c r="D47" s="145"/>
      <c r="E47" s="146"/>
      <c r="F47" s="147"/>
    </row>
    <row r="48" spans="1:6" x14ac:dyDescent="0.2">
      <c r="A48" s="106"/>
      <c r="B48" s="144"/>
      <c r="C48" s="145"/>
      <c r="D48" s="145"/>
      <c r="E48" s="146"/>
      <c r="F48" s="147"/>
    </row>
    <row r="49" spans="1:6" x14ac:dyDescent="0.2">
      <c r="A49" s="106"/>
      <c r="B49" s="154" t="s">
        <v>258</v>
      </c>
      <c r="C49" s="152"/>
      <c r="D49" s="152"/>
      <c r="E49" s="152"/>
      <c r="F49" s="153"/>
    </row>
    <row r="50" spans="1:6" ht="13.5" customHeight="1" x14ac:dyDescent="0.2">
      <c r="A50" s="106"/>
      <c r="B50" s="142" t="str">
        <f>CONCATENATE("LOAD  ", $E$6+4," LOADTYPE Wind  TITLE WL5")</f>
        <v>LOAD  11 LOADTYPE Wind  TITLE WL5</v>
      </c>
      <c r="C50" s="142"/>
      <c r="D50" s="142"/>
      <c r="E50" s="142"/>
      <c r="F50" s="143"/>
    </row>
    <row r="51" spans="1:6" x14ac:dyDescent="0.2">
      <c r="A51" s="106"/>
      <c r="B51" s="152" t="s">
        <v>217</v>
      </c>
      <c r="C51" s="152"/>
      <c r="D51" s="152"/>
      <c r="E51" s="152"/>
      <c r="F51" s="153"/>
    </row>
    <row r="52" spans="1:6" x14ac:dyDescent="0.2">
      <c r="A52" s="106"/>
      <c r="B52" s="144">
        <f>$E$7</f>
        <v>1</v>
      </c>
      <c r="C52" s="145" t="s">
        <v>215</v>
      </c>
      <c r="D52" s="145" t="s">
        <v>214</v>
      </c>
      <c r="E52" s="146">
        <f>Sheet1!B95</f>
        <v>-3.3206861756249997</v>
      </c>
      <c r="F52" s="147"/>
    </row>
    <row r="53" spans="1:6" x14ac:dyDescent="0.2">
      <c r="A53" s="106"/>
      <c r="B53" s="144">
        <f>$E$8</f>
        <v>3</v>
      </c>
      <c r="C53" s="145" t="s">
        <v>215</v>
      </c>
      <c r="D53" s="145" t="s">
        <v>216</v>
      </c>
      <c r="E53" s="146">
        <f>-Sheet1!B97</f>
        <v>5.150802367176742</v>
      </c>
      <c r="F53" s="147"/>
    </row>
    <row r="54" spans="1:6" x14ac:dyDescent="0.2">
      <c r="A54" s="106"/>
      <c r="B54" s="144">
        <f>$E$9</f>
        <v>4</v>
      </c>
      <c r="C54" s="145" t="s">
        <v>215</v>
      </c>
      <c r="D54" s="145" t="s">
        <v>216</v>
      </c>
      <c r="E54" s="146">
        <f>-Sheet1!B98</f>
        <v>5.150802367176742</v>
      </c>
      <c r="F54" s="147"/>
    </row>
    <row r="55" spans="1:6" x14ac:dyDescent="0.2">
      <c r="A55" s="106"/>
      <c r="B55" s="144">
        <f>$E$10</f>
        <v>2</v>
      </c>
      <c r="C55" s="145" t="s">
        <v>215</v>
      </c>
      <c r="D55" s="145" t="s">
        <v>214</v>
      </c>
      <c r="E55" s="146">
        <f>-Sheet1!B96</f>
        <v>3.3206861756249997</v>
      </c>
      <c r="F55" s="147"/>
    </row>
    <row r="56" spans="1:6" x14ac:dyDescent="0.2">
      <c r="A56" s="106"/>
      <c r="B56" s="144"/>
      <c r="C56" s="145"/>
      <c r="D56" s="145"/>
      <c r="E56" s="146"/>
      <c r="F56" s="147"/>
    </row>
    <row r="57" spans="1:6" x14ac:dyDescent="0.2">
      <c r="A57" s="106"/>
      <c r="B57" s="144"/>
      <c r="C57" s="145"/>
      <c r="D57" s="145"/>
      <c r="E57" s="146"/>
      <c r="F57" s="147"/>
    </row>
    <row r="58" spans="1:6" x14ac:dyDescent="0.2">
      <c r="A58" s="106"/>
      <c r="B58" s="154" t="s">
        <v>259</v>
      </c>
      <c r="C58" s="152"/>
      <c r="D58" s="152"/>
      <c r="E58" s="152"/>
      <c r="F58" s="153"/>
    </row>
    <row r="59" spans="1:6" ht="15" customHeight="1" x14ac:dyDescent="0.2">
      <c r="A59" s="106"/>
      <c r="B59" s="142" t="str">
        <f>CONCATENATE("LOAD  ", $E$6+5," LOADTYPE Wind  TITLE WL6")</f>
        <v>LOAD  12 LOADTYPE Wind  TITLE WL6</v>
      </c>
      <c r="C59" s="142"/>
      <c r="D59" s="142"/>
      <c r="E59" s="142"/>
      <c r="F59" s="143"/>
    </row>
    <row r="60" spans="1:6" x14ac:dyDescent="0.2">
      <c r="A60" s="106"/>
      <c r="B60" s="152" t="s">
        <v>217</v>
      </c>
      <c r="C60" s="152"/>
      <c r="D60" s="152"/>
      <c r="E60" s="152"/>
      <c r="F60" s="153"/>
    </row>
    <row r="61" spans="1:6" x14ac:dyDescent="0.2">
      <c r="A61" s="106"/>
      <c r="B61" s="144">
        <f>$E$7</f>
        <v>1</v>
      </c>
      <c r="C61" s="145" t="s">
        <v>215</v>
      </c>
      <c r="D61" s="145" t="s">
        <v>214</v>
      </c>
      <c r="E61" s="146">
        <f>Sheet1!B95</f>
        <v>-3.3206861756249997</v>
      </c>
      <c r="F61" s="147"/>
    </row>
    <row r="62" spans="1:6" x14ac:dyDescent="0.2">
      <c r="A62" s="106"/>
      <c r="B62" s="144">
        <f>$E$8</f>
        <v>3</v>
      </c>
      <c r="C62" s="145" t="s">
        <v>215</v>
      </c>
      <c r="D62" s="145" t="s">
        <v>216</v>
      </c>
      <c r="E62" s="146">
        <f>-Sheet1!B97</f>
        <v>5.150802367176742</v>
      </c>
      <c r="F62" s="147"/>
    </row>
    <row r="63" spans="1:6" x14ac:dyDescent="0.2">
      <c r="A63" s="106"/>
      <c r="B63" s="144">
        <f>$E$9</f>
        <v>4</v>
      </c>
      <c r="C63" s="145" t="s">
        <v>215</v>
      </c>
      <c r="D63" s="145" t="s">
        <v>216</v>
      </c>
      <c r="E63" s="146">
        <f>-Sheet1!B98</f>
        <v>5.150802367176742</v>
      </c>
      <c r="F63" s="147"/>
    </row>
    <row r="64" spans="1:6" x14ac:dyDescent="0.2">
      <c r="A64" s="106"/>
      <c r="B64" s="144">
        <f>$E$10</f>
        <v>2</v>
      </c>
      <c r="C64" s="145" t="s">
        <v>215</v>
      </c>
      <c r="D64" s="145" t="s">
        <v>214</v>
      </c>
      <c r="E64" s="146">
        <f>-Sheet1!B96</f>
        <v>3.3206861756249997</v>
      </c>
      <c r="F64" s="147"/>
    </row>
    <row r="65" spans="1:6" x14ac:dyDescent="0.2">
      <c r="A65" s="106"/>
      <c r="B65" s="144"/>
      <c r="C65" s="145"/>
      <c r="D65" s="145"/>
      <c r="E65" s="146"/>
      <c r="F65" s="147"/>
    </row>
    <row r="66" spans="1:6" x14ac:dyDescent="0.2">
      <c r="A66" s="106"/>
      <c r="B66" s="144"/>
      <c r="C66" s="145"/>
      <c r="D66" s="145"/>
      <c r="E66" s="146"/>
      <c r="F66" s="105"/>
    </row>
    <row r="67" spans="1:6" x14ac:dyDescent="0.2">
      <c r="A67" s="106"/>
      <c r="B67" s="154" t="s">
        <v>260</v>
      </c>
      <c r="C67" s="152"/>
      <c r="D67" s="152"/>
      <c r="E67" s="152"/>
      <c r="F67" s="153"/>
    </row>
    <row r="68" spans="1:6" ht="15.75" customHeight="1" x14ac:dyDescent="0.2">
      <c r="A68" s="106"/>
      <c r="B68" s="142" t="str">
        <f>CONCATENATE("LOAD  ", $E$6+6," LOADTYPE Wind  TITLE WL7")</f>
        <v>LOAD  13 LOADTYPE Wind  TITLE WL7</v>
      </c>
      <c r="C68" s="142"/>
      <c r="D68" s="142"/>
      <c r="E68" s="142"/>
      <c r="F68" s="143"/>
    </row>
    <row r="69" spans="1:6" x14ac:dyDescent="0.2">
      <c r="A69" s="106"/>
      <c r="B69" s="152" t="s">
        <v>217</v>
      </c>
      <c r="C69" s="152"/>
      <c r="D69" s="152"/>
      <c r="E69" s="152"/>
      <c r="F69" s="153"/>
    </row>
    <row r="70" spans="1:6" x14ac:dyDescent="0.2">
      <c r="A70" s="106"/>
      <c r="B70" s="144">
        <f>$E$7</f>
        <v>1</v>
      </c>
      <c r="C70" s="145" t="s">
        <v>215</v>
      </c>
      <c r="D70" s="145" t="s">
        <v>214</v>
      </c>
      <c r="E70" s="146">
        <f>Sheet1!B104</f>
        <v>-1.4231512181249999</v>
      </c>
      <c r="F70" s="147"/>
    </row>
    <row r="71" spans="1:6" x14ac:dyDescent="0.2">
      <c r="A71" s="106"/>
      <c r="B71" s="144">
        <f>$E$8</f>
        <v>3</v>
      </c>
      <c r="C71" s="145" t="s">
        <v>215</v>
      </c>
      <c r="D71" s="145" t="s">
        <v>216</v>
      </c>
      <c r="E71" s="146">
        <f>-Sheet1!B106</f>
        <v>3.2532674096767411</v>
      </c>
      <c r="F71" s="147"/>
    </row>
    <row r="72" spans="1:6" x14ac:dyDescent="0.2">
      <c r="A72" s="106"/>
      <c r="B72" s="144">
        <f>$E$9</f>
        <v>4</v>
      </c>
      <c r="C72" s="145" t="s">
        <v>215</v>
      </c>
      <c r="D72" s="145" t="s">
        <v>216</v>
      </c>
      <c r="E72" s="146">
        <f>-Sheet1!B107</f>
        <v>3.2532674096767411</v>
      </c>
      <c r="F72" s="147"/>
    </row>
    <row r="73" spans="1:6" x14ac:dyDescent="0.2">
      <c r="A73" s="106"/>
      <c r="B73" s="144">
        <f>$E$10</f>
        <v>2</v>
      </c>
      <c r="C73" s="145" t="s">
        <v>215</v>
      </c>
      <c r="D73" s="145" t="s">
        <v>214</v>
      </c>
      <c r="E73" s="146">
        <f>-Sheet1!B105</f>
        <v>1.4231512181249999</v>
      </c>
      <c r="F73" s="147"/>
    </row>
    <row r="74" spans="1:6" x14ac:dyDescent="0.2">
      <c r="A74" s="106"/>
      <c r="B74" s="144"/>
      <c r="C74" s="145"/>
      <c r="D74" s="145"/>
      <c r="E74" s="146"/>
      <c r="F74" s="147"/>
    </row>
    <row r="75" spans="1:6" x14ac:dyDescent="0.2">
      <c r="A75" s="106"/>
      <c r="B75" s="144"/>
      <c r="C75" s="145"/>
      <c r="D75" s="145"/>
      <c r="E75" s="146"/>
      <c r="F75" s="147"/>
    </row>
    <row r="76" spans="1:6" x14ac:dyDescent="0.2">
      <c r="A76" s="106"/>
      <c r="B76" s="154" t="s">
        <v>261</v>
      </c>
      <c r="C76" s="152"/>
      <c r="D76" s="152"/>
      <c r="E76" s="152"/>
      <c r="F76" s="153"/>
    </row>
    <row r="77" spans="1:6" ht="12.75" customHeight="1" x14ac:dyDescent="0.2">
      <c r="A77" s="106"/>
      <c r="B77" s="142" t="str">
        <f>CONCATENATE("LOAD  ", $E$6+7," LOADTYPE Wind  TITLE WL8")</f>
        <v>LOAD  14 LOADTYPE Wind  TITLE WL8</v>
      </c>
      <c r="C77" s="142"/>
      <c r="D77" s="142"/>
      <c r="E77" s="142"/>
      <c r="F77" s="143"/>
    </row>
    <row r="78" spans="1:6" x14ac:dyDescent="0.2">
      <c r="A78" s="106"/>
      <c r="B78" s="152" t="s">
        <v>217</v>
      </c>
      <c r="C78" s="152"/>
      <c r="D78" s="152"/>
      <c r="E78" s="152"/>
      <c r="F78" s="153"/>
    </row>
    <row r="79" spans="1:6" x14ac:dyDescent="0.2">
      <c r="A79" s="106"/>
      <c r="B79" s="144">
        <f>$E$7</f>
        <v>1</v>
      </c>
      <c r="C79" s="145" t="s">
        <v>215</v>
      </c>
      <c r="D79" s="145" t="s">
        <v>214</v>
      </c>
      <c r="E79" s="146">
        <f>Sheet1!B104</f>
        <v>-1.4231512181249999</v>
      </c>
      <c r="F79" s="147"/>
    </row>
    <row r="80" spans="1:6" x14ac:dyDescent="0.2">
      <c r="A80" s="106"/>
      <c r="B80" s="144">
        <f>$E$8</f>
        <v>3</v>
      </c>
      <c r="C80" s="145" t="s">
        <v>215</v>
      </c>
      <c r="D80" s="145" t="s">
        <v>216</v>
      </c>
      <c r="E80" s="146">
        <f>-Sheet1!B106</f>
        <v>3.2532674096767411</v>
      </c>
      <c r="F80" s="147"/>
    </row>
    <row r="81" spans="1:6" x14ac:dyDescent="0.2">
      <c r="A81" s="106"/>
      <c r="B81" s="144">
        <f>$E$9</f>
        <v>4</v>
      </c>
      <c r="C81" s="145" t="s">
        <v>215</v>
      </c>
      <c r="D81" s="145" t="s">
        <v>216</v>
      </c>
      <c r="E81" s="146">
        <f>-Sheet1!B107</f>
        <v>3.2532674096767411</v>
      </c>
      <c r="F81" s="147"/>
    </row>
    <row r="82" spans="1:6" x14ac:dyDescent="0.2">
      <c r="A82" s="106"/>
      <c r="B82" s="144">
        <f>$E$10</f>
        <v>2</v>
      </c>
      <c r="C82" s="145" t="s">
        <v>215</v>
      </c>
      <c r="D82" s="145" t="s">
        <v>214</v>
      </c>
      <c r="E82" s="146">
        <f>-Sheet1!B105</f>
        <v>1.4231512181249999</v>
      </c>
      <c r="F82" s="147"/>
    </row>
    <row r="83" spans="1:6" x14ac:dyDescent="0.2">
      <c r="A83" s="106"/>
      <c r="B83" s="144"/>
      <c r="C83" s="145"/>
      <c r="D83" s="145"/>
      <c r="E83" s="146"/>
      <c r="F83" s="147"/>
    </row>
    <row r="84" spans="1:6" ht="13.5" thickBot="1" x14ac:dyDescent="0.25">
      <c r="A84" s="139"/>
      <c r="B84" s="148"/>
      <c r="C84" s="149"/>
      <c r="D84" s="149"/>
      <c r="E84" s="150"/>
      <c r="F84" s="141"/>
    </row>
  </sheetData>
  <mergeCells count="18">
    <mergeCell ref="B6:D6"/>
    <mergeCell ref="B12:F12"/>
    <mergeCell ref="B13:F13"/>
    <mergeCell ref="B15:F15"/>
    <mergeCell ref="B49:F49"/>
    <mergeCell ref="B22:F22"/>
    <mergeCell ref="B24:F24"/>
    <mergeCell ref="B31:F31"/>
    <mergeCell ref="B40:F40"/>
    <mergeCell ref="B42:F42"/>
    <mergeCell ref="B33:F33"/>
    <mergeCell ref="B51:F51"/>
    <mergeCell ref="B67:F67"/>
    <mergeCell ref="B69:F69"/>
    <mergeCell ref="B76:F76"/>
    <mergeCell ref="B78:F78"/>
    <mergeCell ref="B58:F58"/>
    <mergeCell ref="B60:F60"/>
  </mergeCells>
  <pageMargins left="0.75" right="0.75" top="1" bottom="1" header="0.5" footer="0.5"/>
  <pageSetup scale="76" orientation="portrait" r:id="rId1"/>
  <headerFooter alignWithMargins="0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WL-Single Gable-MBS</vt:lpstr>
      <vt:lpstr>Sheet1</vt:lpstr>
      <vt:lpstr>For STAAD</vt:lpstr>
      <vt:lpstr>'For STAAD'!Print_Area</vt:lpstr>
      <vt:lpstr>'WL-Single Gable-MBS'!Print_Area</vt:lpstr>
    </vt:vector>
  </TitlesOfParts>
  <Company>AEC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Yadwad</dc:creator>
  <cp:lastModifiedBy>Chetan Jangir (HO)</cp:lastModifiedBy>
  <cp:lastPrinted>2022-07-16T09:53:18Z</cp:lastPrinted>
  <dcterms:created xsi:type="dcterms:W3CDTF">2004-02-21T11:06:32Z</dcterms:created>
  <dcterms:modified xsi:type="dcterms:W3CDTF">2026-08-22T05:57:46Z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